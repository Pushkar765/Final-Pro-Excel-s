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RW\Excel\"/>
    </mc:Choice>
  </mc:AlternateContent>
  <xr:revisionPtr revIDLastSave="0" documentId="13_ncr:1_{5510FC40-4F79-48FA-98E8-5F9C2106E1C4}" xr6:coauthVersionLast="47" xr6:coauthVersionMax="47" xr10:uidLastSave="{00000000-0000-0000-0000-000000000000}"/>
  <bookViews>
    <workbookView xWindow="-108" yWindow="-108" windowWidth="23256" windowHeight="13176" firstSheet="1" activeTab="1" xr2:uid="{00000000-000D-0000-FFFF-FFFF00000000}"/>
  </bookViews>
  <sheets>
    <sheet name="Project Instructions" sheetId="1" r:id="rId1"/>
    <sheet name="Dashboard" sheetId="6" r:id="rId2"/>
    <sheet name="Final Project Dataset" sheetId="2" r:id="rId3"/>
    <sheet name="Data Analysis Toolpak" sheetId="5" r:id="rId4"/>
    <sheet name="Sheet1" sheetId="3" r:id="rId5"/>
    <sheet name="Sheet2" sheetId="4" r:id="rId6"/>
  </sheets>
  <definedNames>
    <definedName name="Slicer_Month">#N/A</definedName>
    <definedName name="Slicer_Payment_Metho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9" i="6" l="1"/>
  <c r="D59" i="6"/>
  <c r="E58" i="6"/>
  <c r="D58" i="6"/>
  <c r="E57" i="6"/>
  <c r="D57" i="6"/>
  <c r="E56" i="6"/>
  <c r="D56" i="6"/>
  <c r="E55" i="6"/>
  <c r="D55" i="6"/>
  <c r="E54" i="6"/>
  <c r="D54" i="6"/>
  <c r="E53" i="6"/>
  <c r="D53" i="6"/>
  <c r="E52" i="6"/>
  <c r="D52" i="6"/>
  <c r="E51" i="6"/>
  <c r="D51" i="6"/>
  <c r="E50" i="6"/>
  <c r="D50" i="6"/>
  <c r="E49" i="6"/>
  <c r="D49" i="6"/>
  <c r="D48" i="6"/>
  <c r="Z8" i="2"/>
  <c r="Z7" i="2"/>
  <c r="Z3"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V2" i="2"/>
  <c r="Z6" i="2" s="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U8" i="2"/>
  <c r="U9" i="2"/>
  <c r="U16" i="2"/>
  <c r="U32" i="2"/>
  <c r="U33" i="2"/>
  <c r="U40" i="2"/>
  <c r="U41" i="2"/>
  <c r="U48" i="2"/>
  <c r="U64" i="2"/>
  <c r="U65" i="2"/>
  <c r="U72" i="2"/>
  <c r="U73" i="2"/>
  <c r="U80" i="2"/>
  <c r="U96" i="2"/>
  <c r="U97" i="2"/>
  <c r="U104" i="2"/>
  <c r="U105" i="2"/>
  <c r="U112" i="2"/>
  <c r="U128" i="2"/>
  <c r="U129" i="2"/>
  <c r="U136" i="2"/>
  <c r="U137" i="2"/>
  <c r="U144" i="2"/>
  <c r="U160" i="2"/>
  <c r="U161" i="2"/>
  <c r="U168" i="2"/>
  <c r="U169" i="2"/>
  <c r="U176" i="2"/>
  <c r="U193" i="2"/>
  <c r="U200" i="2"/>
  <c r="U201" i="2"/>
  <c r="U208" i="2"/>
  <c r="U225" i="2"/>
  <c r="U232" i="2"/>
  <c r="U233" i="2"/>
  <c r="U240" i="2"/>
  <c r="T2" i="2"/>
  <c r="U2" i="2" s="1"/>
  <c r="T3" i="2"/>
  <c r="U3" i="2" s="1"/>
  <c r="T4" i="2"/>
  <c r="U4" i="2" s="1"/>
  <c r="T5" i="2"/>
  <c r="U5" i="2" s="1"/>
  <c r="T6" i="2"/>
  <c r="U6" i="2" s="1"/>
  <c r="T7" i="2"/>
  <c r="U7" i="2" s="1"/>
  <c r="T8" i="2"/>
  <c r="T9" i="2"/>
  <c r="T10" i="2"/>
  <c r="U10" i="2" s="1"/>
  <c r="T11" i="2"/>
  <c r="U11" i="2" s="1"/>
  <c r="T12" i="2"/>
  <c r="U12" i="2" s="1"/>
  <c r="T13" i="2"/>
  <c r="U13" i="2" s="1"/>
  <c r="T14" i="2"/>
  <c r="U14" i="2" s="1"/>
  <c r="T15" i="2"/>
  <c r="U15" i="2" s="1"/>
  <c r="T16" i="2"/>
  <c r="T17" i="2"/>
  <c r="U17" i="2" s="1"/>
  <c r="T18" i="2"/>
  <c r="U18" i="2" s="1"/>
  <c r="T19" i="2"/>
  <c r="U19" i="2" s="1"/>
  <c r="T20" i="2"/>
  <c r="U20" i="2" s="1"/>
  <c r="T21" i="2"/>
  <c r="U21" i="2" s="1"/>
  <c r="T22" i="2"/>
  <c r="U22" i="2" s="1"/>
  <c r="T23" i="2"/>
  <c r="U23" i="2" s="1"/>
  <c r="T24" i="2"/>
  <c r="U24" i="2" s="1"/>
  <c r="T25" i="2"/>
  <c r="U25" i="2" s="1"/>
  <c r="T26" i="2"/>
  <c r="U26" i="2" s="1"/>
  <c r="T27" i="2"/>
  <c r="U27" i="2" s="1"/>
  <c r="T28" i="2"/>
  <c r="U28" i="2" s="1"/>
  <c r="T29" i="2"/>
  <c r="U29" i="2" s="1"/>
  <c r="T30" i="2"/>
  <c r="U30" i="2" s="1"/>
  <c r="T31" i="2"/>
  <c r="U31" i="2" s="1"/>
  <c r="T32" i="2"/>
  <c r="T33" i="2"/>
  <c r="T34" i="2"/>
  <c r="U34" i="2" s="1"/>
  <c r="T35" i="2"/>
  <c r="U35" i="2" s="1"/>
  <c r="T36" i="2"/>
  <c r="U36" i="2" s="1"/>
  <c r="T37" i="2"/>
  <c r="U37" i="2" s="1"/>
  <c r="T38" i="2"/>
  <c r="U38" i="2" s="1"/>
  <c r="T39" i="2"/>
  <c r="U39" i="2" s="1"/>
  <c r="T40" i="2"/>
  <c r="T41" i="2"/>
  <c r="T42" i="2"/>
  <c r="U42" i="2" s="1"/>
  <c r="T43" i="2"/>
  <c r="U43" i="2" s="1"/>
  <c r="T44" i="2"/>
  <c r="U44" i="2" s="1"/>
  <c r="T45" i="2"/>
  <c r="U45" i="2" s="1"/>
  <c r="T46" i="2"/>
  <c r="U46" i="2" s="1"/>
  <c r="T47" i="2"/>
  <c r="U47" i="2" s="1"/>
  <c r="T48" i="2"/>
  <c r="T49" i="2"/>
  <c r="U49" i="2" s="1"/>
  <c r="T50" i="2"/>
  <c r="U50" i="2" s="1"/>
  <c r="T51" i="2"/>
  <c r="U51" i="2" s="1"/>
  <c r="T52" i="2"/>
  <c r="U52" i="2" s="1"/>
  <c r="T53" i="2"/>
  <c r="U53" i="2" s="1"/>
  <c r="T54" i="2"/>
  <c r="U54" i="2" s="1"/>
  <c r="T55" i="2"/>
  <c r="U55" i="2" s="1"/>
  <c r="T56" i="2"/>
  <c r="U56" i="2" s="1"/>
  <c r="T57" i="2"/>
  <c r="U57" i="2" s="1"/>
  <c r="T58" i="2"/>
  <c r="U58" i="2" s="1"/>
  <c r="T59" i="2"/>
  <c r="U59" i="2" s="1"/>
  <c r="T60" i="2"/>
  <c r="U60" i="2" s="1"/>
  <c r="T61" i="2"/>
  <c r="U61" i="2" s="1"/>
  <c r="T62" i="2"/>
  <c r="U62" i="2" s="1"/>
  <c r="T63" i="2"/>
  <c r="U63" i="2" s="1"/>
  <c r="T64" i="2"/>
  <c r="T65" i="2"/>
  <c r="T66" i="2"/>
  <c r="U66" i="2" s="1"/>
  <c r="T67" i="2"/>
  <c r="U67" i="2" s="1"/>
  <c r="T68" i="2"/>
  <c r="U68" i="2" s="1"/>
  <c r="T69" i="2"/>
  <c r="U69" i="2" s="1"/>
  <c r="T70" i="2"/>
  <c r="U70" i="2" s="1"/>
  <c r="T71" i="2"/>
  <c r="U71" i="2" s="1"/>
  <c r="T72" i="2"/>
  <c r="T73" i="2"/>
  <c r="T74" i="2"/>
  <c r="U74" i="2" s="1"/>
  <c r="T75" i="2"/>
  <c r="U75" i="2" s="1"/>
  <c r="T76" i="2"/>
  <c r="U76" i="2" s="1"/>
  <c r="T77" i="2"/>
  <c r="U77" i="2" s="1"/>
  <c r="T78" i="2"/>
  <c r="U78" i="2" s="1"/>
  <c r="T79" i="2"/>
  <c r="U79" i="2" s="1"/>
  <c r="T80" i="2"/>
  <c r="T81" i="2"/>
  <c r="U81" i="2" s="1"/>
  <c r="T82" i="2"/>
  <c r="U82" i="2" s="1"/>
  <c r="T83" i="2"/>
  <c r="U83" i="2" s="1"/>
  <c r="T84" i="2"/>
  <c r="U84" i="2" s="1"/>
  <c r="T85" i="2"/>
  <c r="U85" i="2" s="1"/>
  <c r="T86" i="2"/>
  <c r="U86" i="2" s="1"/>
  <c r="T87" i="2"/>
  <c r="U87" i="2" s="1"/>
  <c r="T88" i="2"/>
  <c r="U88" i="2" s="1"/>
  <c r="T89" i="2"/>
  <c r="U89" i="2" s="1"/>
  <c r="T90" i="2"/>
  <c r="U90" i="2" s="1"/>
  <c r="T91" i="2"/>
  <c r="U91" i="2" s="1"/>
  <c r="T92" i="2"/>
  <c r="U92" i="2" s="1"/>
  <c r="T93" i="2"/>
  <c r="U93" i="2" s="1"/>
  <c r="T94" i="2"/>
  <c r="U94" i="2" s="1"/>
  <c r="T95" i="2"/>
  <c r="U95" i="2" s="1"/>
  <c r="T96" i="2"/>
  <c r="T97" i="2"/>
  <c r="T98" i="2"/>
  <c r="U98" i="2" s="1"/>
  <c r="T99" i="2"/>
  <c r="U99" i="2" s="1"/>
  <c r="T100" i="2"/>
  <c r="U100" i="2" s="1"/>
  <c r="T101" i="2"/>
  <c r="U101" i="2" s="1"/>
  <c r="T102" i="2"/>
  <c r="U102" i="2" s="1"/>
  <c r="T103" i="2"/>
  <c r="U103" i="2" s="1"/>
  <c r="T104" i="2"/>
  <c r="T105" i="2"/>
  <c r="T106" i="2"/>
  <c r="U106" i="2" s="1"/>
  <c r="T107" i="2"/>
  <c r="U107" i="2" s="1"/>
  <c r="T108" i="2"/>
  <c r="U108" i="2" s="1"/>
  <c r="T109" i="2"/>
  <c r="U109" i="2" s="1"/>
  <c r="T110" i="2"/>
  <c r="U110" i="2" s="1"/>
  <c r="T111" i="2"/>
  <c r="U111" i="2" s="1"/>
  <c r="T112" i="2"/>
  <c r="T113" i="2"/>
  <c r="U113" i="2" s="1"/>
  <c r="T114" i="2"/>
  <c r="U114" i="2" s="1"/>
  <c r="T115" i="2"/>
  <c r="U115" i="2" s="1"/>
  <c r="T116" i="2"/>
  <c r="U116" i="2" s="1"/>
  <c r="T117" i="2"/>
  <c r="U117" i="2" s="1"/>
  <c r="T118" i="2"/>
  <c r="U118" i="2" s="1"/>
  <c r="T119" i="2"/>
  <c r="U119" i="2" s="1"/>
  <c r="T120" i="2"/>
  <c r="U120" i="2" s="1"/>
  <c r="T121" i="2"/>
  <c r="U121" i="2" s="1"/>
  <c r="T122" i="2"/>
  <c r="U122" i="2" s="1"/>
  <c r="T123" i="2"/>
  <c r="U123" i="2" s="1"/>
  <c r="T124" i="2"/>
  <c r="U124" i="2" s="1"/>
  <c r="T125" i="2"/>
  <c r="U125" i="2" s="1"/>
  <c r="T126" i="2"/>
  <c r="U126" i="2" s="1"/>
  <c r="T127" i="2"/>
  <c r="U127" i="2" s="1"/>
  <c r="T128" i="2"/>
  <c r="T129" i="2"/>
  <c r="T130" i="2"/>
  <c r="U130" i="2" s="1"/>
  <c r="T131" i="2"/>
  <c r="U131" i="2" s="1"/>
  <c r="T132" i="2"/>
  <c r="U132" i="2" s="1"/>
  <c r="T133" i="2"/>
  <c r="U133" i="2" s="1"/>
  <c r="T134" i="2"/>
  <c r="U134" i="2" s="1"/>
  <c r="T135" i="2"/>
  <c r="U135" i="2" s="1"/>
  <c r="T136" i="2"/>
  <c r="T137" i="2"/>
  <c r="T138" i="2"/>
  <c r="U138" i="2" s="1"/>
  <c r="T139" i="2"/>
  <c r="U139" i="2" s="1"/>
  <c r="T140" i="2"/>
  <c r="U140" i="2" s="1"/>
  <c r="T141" i="2"/>
  <c r="U141" i="2" s="1"/>
  <c r="T142" i="2"/>
  <c r="U142" i="2" s="1"/>
  <c r="T143" i="2"/>
  <c r="U143" i="2" s="1"/>
  <c r="T144" i="2"/>
  <c r="T145" i="2"/>
  <c r="U145" i="2" s="1"/>
  <c r="T146" i="2"/>
  <c r="U146" i="2" s="1"/>
  <c r="T147" i="2"/>
  <c r="U147" i="2" s="1"/>
  <c r="T148" i="2"/>
  <c r="U148" i="2" s="1"/>
  <c r="T149" i="2"/>
  <c r="U149" i="2" s="1"/>
  <c r="T150" i="2"/>
  <c r="U150" i="2" s="1"/>
  <c r="T151" i="2"/>
  <c r="U151" i="2" s="1"/>
  <c r="T152" i="2"/>
  <c r="U152" i="2" s="1"/>
  <c r="T153" i="2"/>
  <c r="U153" i="2" s="1"/>
  <c r="T154" i="2"/>
  <c r="U154" i="2" s="1"/>
  <c r="T155" i="2"/>
  <c r="U155" i="2" s="1"/>
  <c r="T156" i="2"/>
  <c r="U156" i="2" s="1"/>
  <c r="T157" i="2"/>
  <c r="U157" i="2" s="1"/>
  <c r="T158" i="2"/>
  <c r="U158" i="2" s="1"/>
  <c r="T159" i="2"/>
  <c r="U159" i="2" s="1"/>
  <c r="T160" i="2"/>
  <c r="T161" i="2"/>
  <c r="T162" i="2"/>
  <c r="U162" i="2" s="1"/>
  <c r="T163" i="2"/>
  <c r="U163" i="2" s="1"/>
  <c r="T164" i="2"/>
  <c r="U164" i="2" s="1"/>
  <c r="T165" i="2"/>
  <c r="U165" i="2" s="1"/>
  <c r="T166" i="2"/>
  <c r="U166" i="2" s="1"/>
  <c r="T167" i="2"/>
  <c r="U167" i="2" s="1"/>
  <c r="T168" i="2"/>
  <c r="T169" i="2"/>
  <c r="T170" i="2"/>
  <c r="U170" i="2" s="1"/>
  <c r="T171" i="2"/>
  <c r="U171" i="2" s="1"/>
  <c r="T172" i="2"/>
  <c r="U172" i="2" s="1"/>
  <c r="T173" i="2"/>
  <c r="U173" i="2" s="1"/>
  <c r="T174" i="2"/>
  <c r="U174" i="2" s="1"/>
  <c r="T175" i="2"/>
  <c r="U175" i="2" s="1"/>
  <c r="T176" i="2"/>
  <c r="T177" i="2"/>
  <c r="U177" i="2" s="1"/>
  <c r="T178" i="2"/>
  <c r="U178" i="2" s="1"/>
  <c r="T179" i="2"/>
  <c r="U179" i="2" s="1"/>
  <c r="T180" i="2"/>
  <c r="U180" i="2" s="1"/>
  <c r="T181" i="2"/>
  <c r="U181" i="2" s="1"/>
  <c r="T182" i="2"/>
  <c r="U182" i="2" s="1"/>
  <c r="T183" i="2"/>
  <c r="U183" i="2" s="1"/>
  <c r="T184" i="2"/>
  <c r="U184" i="2" s="1"/>
  <c r="T185" i="2"/>
  <c r="U185" i="2" s="1"/>
  <c r="T186" i="2"/>
  <c r="U186" i="2" s="1"/>
  <c r="T187" i="2"/>
  <c r="U187" i="2" s="1"/>
  <c r="T188" i="2"/>
  <c r="U188" i="2" s="1"/>
  <c r="T189" i="2"/>
  <c r="U189" i="2" s="1"/>
  <c r="T190" i="2"/>
  <c r="U190" i="2" s="1"/>
  <c r="T191" i="2"/>
  <c r="U191" i="2" s="1"/>
  <c r="T192" i="2"/>
  <c r="U192" i="2" s="1"/>
  <c r="T193" i="2"/>
  <c r="T194" i="2"/>
  <c r="U194" i="2" s="1"/>
  <c r="T195" i="2"/>
  <c r="U195" i="2" s="1"/>
  <c r="T196" i="2"/>
  <c r="U196" i="2" s="1"/>
  <c r="T197" i="2"/>
  <c r="U197" i="2" s="1"/>
  <c r="T198" i="2"/>
  <c r="U198" i="2" s="1"/>
  <c r="T199" i="2"/>
  <c r="U199" i="2" s="1"/>
  <c r="T200" i="2"/>
  <c r="T201" i="2"/>
  <c r="T202" i="2"/>
  <c r="U202" i="2" s="1"/>
  <c r="T203" i="2"/>
  <c r="U203" i="2" s="1"/>
  <c r="T204" i="2"/>
  <c r="U204" i="2" s="1"/>
  <c r="T205" i="2"/>
  <c r="U205" i="2" s="1"/>
  <c r="T206" i="2"/>
  <c r="U206" i="2" s="1"/>
  <c r="T207" i="2"/>
  <c r="U207" i="2" s="1"/>
  <c r="T208" i="2"/>
  <c r="T209" i="2"/>
  <c r="U209" i="2" s="1"/>
  <c r="T210" i="2"/>
  <c r="U210" i="2" s="1"/>
  <c r="T211" i="2"/>
  <c r="U211" i="2" s="1"/>
  <c r="T212" i="2"/>
  <c r="U212" i="2" s="1"/>
  <c r="T213" i="2"/>
  <c r="U213" i="2" s="1"/>
  <c r="T214" i="2"/>
  <c r="U214" i="2" s="1"/>
  <c r="T215" i="2"/>
  <c r="U215" i="2" s="1"/>
  <c r="T216" i="2"/>
  <c r="U216" i="2" s="1"/>
  <c r="T217" i="2"/>
  <c r="U217" i="2" s="1"/>
  <c r="T218" i="2"/>
  <c r="U218" i="2" s="1"/>
  <c r="T219" i="2"/>
  <c r="U219" i="2" s="1"/>
  <c r="T220" i="2"/>
  <c r="U220" i="2" s="1"/>
  <c r="T221" i="2"/>
  <c r="U221" i="2" s="1"/>
  <c r="T222" i="2"/>
  <c r="U222" i="2" s="1"/>
  <c r="T223" i="2"/>
  <c r="U223" i="2" s="1"/>
  <c r="T224" i="2"/>
  <c r="U224" i="2" s="1"/>
  <c r="T225" i="2"/>
  <c r="T226" i="2"/>
  <c r="U226" i="2" s="1"/>
  <c r="T227" i="2"/>
  <c r="U227" i="2" s="1"/>
  <c r="T228" i="2"/>
  <c r="U228" i="2" s="1"/>
  <c r="T229" i="2"/>
  <c r="U229" i="2" s="1"/>
  <c r="T230" i="2"/>
  <c r="U230" i="2" s="1"/>
  <c r="T231" i="2"/>
  <c r="U231" i="2" s="1"/>
  <c r="T232" i="2"/>
  <c r="T233" i="2"/>
  <c r="T234" i="2"/>
  <c r="U234" i="2" s="1"/>
  <c r="T235" i="2"/>
  <c r="U235" i="2" s="1"/>
  <c r="T236" i="2"/>
  <c r="U236" i="2" s="1"/>
  <c r="T237" i="2"/>
  <c r="U237" i="2" s="1"/>
  <c r="T238" i="2"/>
  <c r="U238" i="2" s="1"/>
  <c r="T239" i="2"/>
  <c r="U239" i="2" s="1"/>
  <c r="T240" i="2"/>
  <c r="T241" i="2"/>
  <c r="U241" i="2" s="1"/>
  <c r="T242" i="2"/>
  <c r="U242" i="2" s="1"/>
  <c r="T243" i="2"/>
  <c r="U243" i="2" s="1"/>
  <c r="T244" i="2"/>
  <c r="U244" i="2" s="1"/>
  <c r="T245" i="2"/>
  <c r="U245" i="2" s="1"/>
  <c r="T246" i="2"/>
  <c r="U246" i="2" s="1"/>
  <c r="T247" i="2"/>
  <c r="U247" i="2" s="1"/>
  <c r="T248" i="2"/>
  <c r="U248" i="2" s="1"/>
  <c r="T249" i="2"/>
  <c r="U249" i="2" s="1"/>
  <c r="T250" i="2"/>
  <c r="U250" i="2" s="1"/>
  <c r="T251" i="2"/>
  <c r="U251" i="2" s="1"/>
  <c r="D6" i="4" l="1"/>
  <c r="D7" i="4"/>
  <c r="D8" i="4"/>
  <c r="D9" i="4"/>
  <c r="D10" i="4"/>
  <c r="D11" i="4"/>
  <c r="D12" i="4"/>
  <c r="D13" i="4"/>
  <c r="D14" i="4"/>
  <c r="D15" i="4"/>
  <c r="D5" i="4"/>
  <c r="C6" i="4"/>
  <c r="C7" i="4"/>
  <c r="C8" i="4"/>
  <c r="C9" i="4"/>
  <c r="C10" i="4"/>
  <c r="C11" i="4"/>
  <c r="C12" i="4"/>
  <c r="C13" i="4"/>
  <c r="C14" i="4"/>
  <c r="C15" i="4"/>
  <c r="C4" i="4"/>
  <c r="C5" i="4"/>
  <c r="Z5" i="2"/>
  <c r="Z4"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Z69" i="2" l="1" a="1"/>
  <c r="Z6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<sst xmlns="http://schemas.openxmlformats.org/spreadsheetml/2006/main" count="2453" uniqueCount="464">
  <si>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</si>
  <si>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</si>
  <si>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</si>
  <si>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</si>
  <si>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</si>
  <si>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</si>
  <si>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</si>
  <si>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</si>
  <si>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</si>
  <si>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</si>
  <si>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</si>
  <si>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</si>
  <si>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</si>
  <si>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</si>
  <si>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</si>
  <si>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</si>
  <si>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</si>
  <si>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</si>
  <si>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</si>
  <si>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</si>
  <si>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</si>
  <si>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</si>
  <si>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</si>
  <si>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</si>
  <si>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</si>
  <si>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</si>
  <si>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</si>
  <si>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</si>
  <si>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</si>
  <si>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</si>
  <si>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</si>
  <si>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</si>
  <si>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</si>
  <si>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</si>
  <si>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</si>
  <si>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</si>
  <si>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</si>
  <si>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</si>
  <si>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</si>
  <si>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</si>
  <si>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</si>
  <si>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</si>
  <si>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</si>
  <si>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</si>
  <si>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</si>
  <si>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</si>
  <si>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</si>
  <si>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</si>
  <si>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</si>
  <si>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</si>
  <si>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</si>
  <si>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</si>
  <si>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</si>
  <si>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</si>
  <si>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</si>
  <si>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</si>
  <si>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</si>
  <si>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</si>
  <si>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</si>
  <si>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</si>
  <si>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</si>
  <si>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</si>
  <si>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</si>
  <si>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</si>
  <si>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</si>
  <si>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</si>
  <si>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</si>
  <si>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</si>
  <si>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</si>
  <si>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</si>
  <si>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</si>
  <si>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</si>
  <si>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</si>
  <si>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</si>
  <si>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</si>
  <si>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</si>
  <si>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</si>
  <si>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</si>
  <si>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</si>
  <si>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</si>
  <si>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</si>
  <si>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</si>
  <si>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</si>
  <si>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</si>
  <si>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</si>
  <si>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</si>
  <si>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</si>
  <si>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</si>
  <si>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</si>
  <si>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</si>
  <si>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</si>
  <si>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</si>
  <si>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</si>
  <si>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</si>
  <si>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</si>
  <si>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</si>
  <si>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</si>
  <si>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</si>
  <si>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</si>
  <si>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</si>
  <si>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</si>
  <si>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</si>
  <si>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</si>
  <si>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</si>
  <si>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</si>
  <si>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</si>
  <si>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</si>
  <si>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</si>
  <si>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</si>
  <si>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</si>
  <si>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</si>
  <si>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</si>
  <si>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</si>
  <si>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</si>
  <si>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</si>
  <si>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</si>
  <si>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</si>
  <si>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</si>
  <si>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</si>
  <si>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</si>
  <si>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</si>
  <si>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</si>
  <si>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</si>
  <si>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</si>
  <si>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</si>
  <si>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</si>
  <si>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</si>
  <si>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</si>
  <si>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</si>
  <si>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</si>
  <si>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</si>
  <si>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</si>
  <si>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</si>
  <si>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</si>
  <si>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</si>
  <si>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</si>
  <si>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</si>
  <si>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</si>
  <si>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</si>
  <si>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</si>
  <si>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</si>
  <si>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</si>
  <si>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</si>
  <si>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</si>
  <si>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</si>
  <si>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</si>
  <si>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</si>
  <si>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</si>
  <si>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</si>
  <si>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</si>
  <si>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</si>
  <si>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</si>
  <si>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</si>
  <si>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</si>
  <si>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</si>
  <si>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</si>
  <si>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</si>
  <si>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</si>
  <si>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</si>
  <si>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</si>
  <si>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</si>
  <si>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</si>
  <si>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</si>
  <si>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</si>
  <si>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</si>
  <si>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</si>
  <si>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</si>
  <si>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</si>
  <si>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</si>
  <si>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</si>
  <si>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</si>
  <si>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</si>
  <si>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</si>
  <si>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</si>
  <si>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</si>
  <si>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</si>
  <si>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</si>
  <si>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</si>
  <si>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</si>
  <si>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</si>
  <si>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</si>
  <si>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</si>
  <si>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</si>
  <si>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</si>
  <si>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</si>
  <si>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</si>
  <si>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</si>
  <si>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</si>
  <si>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</si>
  <si>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</si>
  <si>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</si>
  <si>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</si>
  <si>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</si>
  <si>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</si>
  <si>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</si>
  <si>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</si>
  <si>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</si>
  <si>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</si>
  <si>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</si>
  <si>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</si>
  <si>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</si>
  <si>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</si>
  <si>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</si>
  <si>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</si>
  <si>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</si>
  <si>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</si>
  <si>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</si>
  <si>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</si>
  <si>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</si>
  <si>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</si>
  <si>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</si>
  <si>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</si>
  <si>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</si>
  <si>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</si>
  <si>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</si>
  <si>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</si>
  <si>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</si>
  <si>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</si>
  <si>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</si>
  <si>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</si>
  <si>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</si>
  <si>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</si>
  <si>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</si>
  <si>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</si>
  <si>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</si>
  <si>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</si>
  <si>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</si>
  <si>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</si>
  <si>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</si>
  <si>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</si>
  <si>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</si>
  <si>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</si>
  <si>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</si>
  <si>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</si>
  <si>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</si>
  <si>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</si>
  <si>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</si>
  <si>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</si>
  <si>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</si>
  <si>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</si>
  <si>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</si>
  <si>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</si>
  <si>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</si>
  <si>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</si>
  <si>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</si>
  <si>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</si>
  <si>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</si>
  <si>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</si>
  <si>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</si>
  <si>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</si>
  <si>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</si>
  <si>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</si>
  <si>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</si>
  <si>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</si>
  <si>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</si>
  <si>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</si>
  <si>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</si>
  <si>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</si>
  <si>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</si>
  <si>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</si>
  <si>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</si>
  <si>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</si>
  <si>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</si>
  <si>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</si>
  <si>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</si>
  <si>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</si>
  <si>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</si>
  <si>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</si>
  <si>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</si>
  <si>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</si>
  <si>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</si>
  <si>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</si>
  <si>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</si>
  <si>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</si>
  <si>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</si>
  <si>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</si>
  <si>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</si>
  <si>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</si>
  <si>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</si>
  <si>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</si>
  <si>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</si>
  <si>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</si>
  <si>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</si>
  <si>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</si>
  <si>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</si>
  <si>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</si>
  <si>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</si>
  <si>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</si>
  <si>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</si>
  <si>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</si>
  <si>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</si>
  <si>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</si>
  <si>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</si>
  <si>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</si>
  <si>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</si>
  <si>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</si>
  <si>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</si>
  <si>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</si>
  <si>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</si>
  <si>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</si>
  <si>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</si>
  <si>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</si>
  <si>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</si>
  <si>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</si>
  <si>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</si>
  <si>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</si>
  <si>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</si>
  <si>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</si>
  <si>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</si>
  <si>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</si>
  <si>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</si>
  <si>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</si>
  <si>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</si>
  <si>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</si>
  <si>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</si>
  <si>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</si>
  <si>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</si>
  <si>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</si>
  <si>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</si>
  <si>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</si>
  <si>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</si>
  <si>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</si>
  <si>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</si>
  <si>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</si>
  <si>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</si>
  <si>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</si>
  <si>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</si>
  <si>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</si>
  <si>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</si>
  <si>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</si>
  <si>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</si>
  <si>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</si>
  <si>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</si>
  <si>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</si>
  <si>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</si>
  <si>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</si>
  <si>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</si>
  <si>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</si>
  <si>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</si>
  <si>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</si>
  <si>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</si>
  <si>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</si>
  <si>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</si>
  <si>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</si>
  <si>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</si>
  <si>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</si>
  <si>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</si>
  <si>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</si>
  <si>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</si>
  <si>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</si>
  <si>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</si>
  <si>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</si>
  <si>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</si>
  <si>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</si>
  <si>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</si>
  <si>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</si>
  <si>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</si>
  <si>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</si>
  <si>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</si>
  <si>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</si>
  <si>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</si>
  <si>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</si>
  <si>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</si>
  <si>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</si>
  <si>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</si>
  <si>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</si>
  <si>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</si>
  <si>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</si>
  <si>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</si>
  <si>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</si>
  <si>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</si>
  <si>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</si>
  <si>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</si>
  <si>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</si>
  <si>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</si>
  <si>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</si>
  <si>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</si>
  <si>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</si>
  <si>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</si>
  <si>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</si>
  <si>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</si>
  <si>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</si>
  <si>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</si>
  <si>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</si>
  <si>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</si>
  <si>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</si>
  <si>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</si>
  <si>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</si>
  <si>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</si>
  <si>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</si>
  <si>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</si>
  <si>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</si>
  <si>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</si>
  <si>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</si>
  <si>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</si>
  <si>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</si>
  <si>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</si>
  <si>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</si>
  <si>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</si>
  <si>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</si>
  <si>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</si>
  <si>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Total Sales</t>
  </si>
  <si>
    <t>Total Quantity Sold</t>
  </si>
  <si>
    <t>Avg Order Value</t>
  </si>
  <si>
    <t>Information</t>
  </si>
  <si>
    <t>Row Labels</t>
  </si>
  <si>
    <t>Grand Total</t>
  </si>
  <si>
    <t>Sum of Total_Amount</t>
  </si>
  <si>
    <t>Month</t>
  </si>
  <si>
    <t>Jan</t>
  </si>
  <si>
    <t>Feb</t>
  </si>
  <si>
    <t>Mar</t>
  </si>
  <si>
    <t>Apr</t>
  </si>
  <si>
    <t>May</t>
  </si>
  <si>
    <t>Jun</t>
  </si>
  <si>
    <t>Jul</t>
  </si>
  <si>
    <t>Aug</t>
  </si>
  <si>
    <t>Sep</t>
  </si>
  <si>
    <t>Oct</t>
  </si>
  <si>
    <t>Nov</t>
  </si>
  <si>
    <t>Dec</t>
  </si>
  <si>
    <t>Top 5 Customers</t>
  </si>
  <si>
    <t>Customer Segment Analysis</t>
  </si>
  <si>
    <t>TODAY()</t>
  </si>
  <si>
    <t>TIMESTAMP</t>
  </si>
  <si>
    <t>Customer Age(Years)</t>
  </si>
  <si>
    <t>Column1</t>
  </si>
  <si>
    <t>Month End Date</t>
  </si>
  <si>
    <t>Select the Region</t>
  </si>
  <si>
    <t>FILTER() function</t>
  </si>
  <si>
    <t>Growth</t>
  </si>
  <si>
    <t>Growth(%)</t>
  </si>
  <si>
    <t>-</t>
  </si>
  <si>
    <t>Regression Statistics</t>
  </si>
  <si>
    <t>Multiple R</t>
  </si>
  <si>
    <t>R Square</t>
  </si>
  <si>
    <t>Adjusted R Square</t>
  </si>
  <si>
    <t>Standard Error</t>
  </si>
  <si>
    <t>Observations</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</si>
  <si>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</si>
  <si>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</si>
  <si>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</si>
  <si>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</si>
  <si>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</si>
  <si>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</si>
  <si>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</si>
  <si>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</si>
  <si>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</si>
  <si>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</si>
  <si>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</si>
  <si>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</si>
  <si>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</si>
  <si>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</si>
  <si>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</si>
  <si>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</si>
  <si>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</si>
  <si>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Total revenue</t>
  </si>
  <si>
    <t>Grade</t>
  </si>
  <si>
    <t>Count Frequency</t>
  </si>
  <si>
    <t>Max Frequency</t>
  </si>
  <si>
    <t>Abbreviations</t>
  </si>
  <si>
    <t>Total Transactions</t>
  </si>
  <si>
    <t>Total Customers</t>
  </si>
  <si>
    <t>"Data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</si>
</sst>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800]dddd\,\ mmmm\ dd\,\ yyyy"/>
  </numFmts>
  <fonts count="16"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rgb="FFFA7D00"/>
      <name val="Calibri"/>
      <family val="2"/>
      <scheme val="minor"/>
    </font>
    <font>
      <b/>
      <sz val="11"/>
      <color theme="1"/>
      <name val="Calibri"/>
      <family val="2"/>
      <scheme val="minor"/>
    </font>
    <font>
      <sz val="11"/>
      <color theme="1"/>
      <name val="Arial Black"/>
      <family val="2"/>
    </font>
    <font>
      <sz val="11"/>
      <color theme="1"/>
      <name val="Calibri"/>
      <family val="2"/>
      <scheme val="major"/>
    </font>
    <font>
      <sz val="20"/>
      <color theme="1"/>
      <name val="Eras Demi ITC"/>
      <family val="2"/>
    </font>
    <font>
      <i/>
      <sz val="11"/>
      <color theme="1"/>
      <name val="Calibri"/>
      <family val="2"/>
      <scheme val="minor"/>
    </font>
    <font>
      <sz val="18"/>
      <color theme="1"/>
      <name val="Calibri"/>
      <family val="2"/>
      <scheme val="major"/>
    </font>
    <font>
      <b/>
      <sz val="22"/>
      <color theme="1"/>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rgb="FFF2F2F2"/>
      </patternFill>
    </fill>
    <fill>
      <patternFill patternType="solid">
        <fgColor theme="7" tint="0.3999755851924192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3" fillId="0" borderId="0" applyFont="0" applyFill="0" applyBorder="0" applyAlignment="0" applyProtection="0"/>
    <xf numFmtId="0" fontId="8" fillId="3" borderId="2" applyNumberFormat="0" applyAlignment="0" applyProtection="0"/>
  </cellStyleXfs>
  <cellXfs count="39">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4" fillId="0" borderId="1" xfId="0" applyFont="1" applyBorder="1"/>
    <xf numFmtId="0" fontId="5" fillId="0" borderId="0" xfId="0" applyFont="1"/>
    <xf numFmtId="0" fontId="1" fillId="0" borderId="0" xfId="0" applyFont="1"/>
    <xf numFmtId="0" fontId="0" fillId="0" borderId="0" xfId="0" applyAlignment="1">
      <alignment horizontal="center"/>
    </xf>
    <xf numFmtId="0" fontId="9" fillId="0" borderId="3" xfId="0" applyFont="1" applyBorder="1"/>
    <xf numFmtId="0" fontId="0" fillId="0" borderId="3" xfId="0" applyBorder="1"/>
    <xf numFmtId="0" fontId="0" fillId="0" borderId="0" xfId="0" pivotButton="1"/>
    <xf numFmtId="0" fontId="0" fillId="0" borderId="0" xfId="0" applyAlignment="1">
      <alignment horizontal="left"/>
    </xf>
    <xf numFmtId="0" fontId="0" fillId="0" borderId="0" xfId="0" applyAlignment="1">
      <alignment horizontal="center" vertical="top"/>
    </xf>
    <xf numFmtId="0" fontId="0" fillId="0" borderId="3" xfId="0" pivotButton="1" applyBorder="1"/>
    <xf numFmtId="0" fontId="0" fillId="0" borderId="3" xfId="0" applyBorder="1" applyAlignment="1">
      <alignment horizontal="left"/>
    </xf>
    <xf numFmtId="165" fontId="0" fillId="0" borderId="0" xfId="0" applyNumberFormat="1" applyAlignment="1">
      <alignment horizontal="center" vertical="top"/>
    </xf>
    <xf numFmtId="14" fontId="0" fillId="0" borderId="0" xfId="0" applyNumberFormat="1" applyAlignment="1">
      <alignment horizontal="center" vertical="top"/>
    </xf>
    <xf numFmtId="22" fontId="0" fillId="0" borderId="0" xfId="0" applyNumberFormat="1" applyAlignment="1">
      <alignment horizontal="center"/>
    </xf>
    <xf numFmtId="22" fontId="1" fillId="0" borderId="0" xfId="0" applyNumberFormat="1" applyFont="1" applyAlignment="1">
      <alignment horizontal="center" vertical="top"/>
    </xf>
    <xf numFmtId="22" fontId="0" fillId="0" borderId="0" xfId="0" applyNumberFormat="1" applyAlignment="1">
      <alignment horizontal="center" vertical="top"/>
    </xf>
    <xf numFmtId="22" fontId="11" fillId="0" borderId="0" xfId="0" applyNumberFormat="1" applyFont="1" applyAlignment="1">
      <alignment horizontal="center" vertical="top"/>
    </xf>
    <xf numFmtId="0" fontId="12" fillId="0" borderId="0" xfId="0" applyFont="1" applyAlignment="1">
      <alignment horizontal="center" vertical="center"/>
    </xf>
    <xf numFmtId="9" fontId="0" fillId="0" borderId="0" xfId="1" applyFont="1"/>
    <xf numFmtId="0" fontId="13" fillId="0" borderId="0" xfId="0" applyFont="1" applyAlignment="1">
      <alignment horizontal="centerContinuous"/>
    </xf>
    <xf numFmtId="0" fontId="13" fillId="0" borderId="0" xfId="0" applyFont="1" applyAlignment="1">
      <alignment horizontal="center"/>
    </xf>
    <xf numFmtId="0" fontId="9" fillId="0" borderId="0" xfId="0" applyFont="1" applyAlignment="1">
      <alignment horizontal="center" vertical="top"/>
    </xf>
    <xf numFmtId="0" fontId="1" fillId="0" borderId="0" xfId="0" applyFont="1" applyAlignment="1">
      <alignment horizontal="center" vertical="top"/>
    </xf>
    <xf numFmtId="0" fontId="11" fillId="0" borderId="0" xfId="0" applyFont="1" applyAlignment="1">
      <alignment horizontal="center" vertical="top"/>
    </xf>
    <xf numFmtId="0" fontId="9" fillId="0" borderId="3" xfId="0" applyFont="1" applyBorder="1" applyAlignment="1">
      <alignment horizontal="center"/>
    </xf>
    <xf numFmtId="0" fontId="0" fillId="0" borderId="4" xfId="0" applyBorder="1" applyAlignment="1">
      <alignment horizontal="center"/>
    </xf>
    <xf numFmtId="0" fontId="9" fillId="0" borderId="0" xfId="0" applyFont="1" applyAlignment="1">
      <alignment horizontal="center"/>
    </xf>
    <xf numFmtId="0" fontId="1" fillId="0" borderId="0" xfId="0" applyFont="1" applyAlignment="1">
      <alignment horizontal="center"/>
    </xf>
    <xf numFmtId="0" fontId="0" fillId="4" borderId="0" xfId="0" applyFill="1"/>
    <xf numFmtId="0" fontId="15" fillId="4" borderId="0" xfId="0" applyFont="1" applyFill="1" applyAlignment="1">
      <alignment horizontal="center" vertical="center"/>
    </xf>
    <xf numFmtId="0" fontId="9" fillId="4" borderId="0" xfId="0" applyFont="1" applyFill="1" applyAlignment="1">
      <alignment horizontal="center" vertical="center"/>
    </xf>
    <xf numFmtId="0" fontId="12" fillId="0" borderId="0" xfId="0" applyFont="1" applyAlignment="1">
      <alignment horizontal="center" vertical="center"/>
    </xf>
    <xf numFmtId="0" fontId="10" fillId="0" borderId="3" xfId="0" applyFont="1" applyBorder="1" applyAlignment="1">
      <alignment horizontal="center" vertical="center"/>
    </xf>
    <xf numFmtId="0" fontId="0" fillId="0" borderId="3" xfId="0" applyBorder="1" applyAlignment="1">
      <alignment horizontal="center" vertical="center"/>
    </xf>
    <xf numFmtId="0" fontId="8" fillId="3" borderId="2" xfId="2" applyAlignment="1">
      <alignment horizontal="center"/>
    </xf>
    <xf numFmtId="0" fontId="14" fillId="0" borderId="0" xfId="0" applyFont="1" applyAlignment="1">
      <alignment horizontal="center"/>
    </xf>
  </cellXfs>
  <cellStyles count="3">
    <cellStyle name="Calculation" xfId="2" builtinId="22"/>
    <cellStyle name="Normal" xfId="0" builtinId="0"/>
    <cellStyle name="Percent" xfId="1" builtinId="5"/>
  </cellStyles>
  <dxfs count="61">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166" formatCode="dd/mm/yyyy\ hh:mm"/>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5" formatCode="[$-F800]dddd\,\ mmmm\ dd\,\ 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Project.xlsx]Sheet1!PivotTable1</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latin typeface="Bahnschrift Light Condensed" panose="020B0502040204020203" pitchFamily="34" charset="0"/>
              </a:rPr>
              <a:t>Sales</a:t>
            </a:r>
            <a:r>
              <a:rPr lang="en-IN" baseline="0">
                <a:latin typeface="Bahnschrift Light Condensed" panose="020B0502040204020203" pitchFamily="34" charset="0"/>
              </a:rPr>
              <a:t>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c:spPr>
        <c:marker>
          <c:symbol val="none"/>
        </c:marker>
        <c:dLbl>
          <c:idx val="0"/>
          <c:spPr>
            <a:solidFill>
              <a:srgbClr val="000000">
                <a:tint val="885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a:noFill/>
          </a:ln>
          <a:effectLst/>
        </c:spPr>
        <c:marker>
          <c:symbol val="none"/>
        </c:marker>
        <c:dLbl>
          <c:idx val="0"/>
          <c:spPr>
            <a:solidFill>
              <a:srgbClr val="000000">
                <a:tint val="885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lt1"/>
            </a:bgClr>
          </a:pattFill>
          <a:ln>
            <a:noFill/>
          </a:ln>
          <a:effectLst/>
        </c:spPr>
        <c:marker>
          <c:symbol val="none"/>
        </c:marker>
        <c:dLbl>
          <c:idx val="0"/>
          <c:spPr>
            <a:solidFill>
              <a:srgbClr val="000000">
                <a:tint val="885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pattFill prst="ltUpDiag">
              <a:fgClr>
                <a:schemeClr val="dk1">
                  <a:tint val="88500"/>
                </a:schemeClr>
              </a:fgClr>
              <a:bgClr>
                <a:schemeClr val="lt1"/>
              </a:bgClr>
            </a:pattFill>
            <a:ln>
              <a:noFill/>
            </a:ln>
            <a:effectLst/>
          </c:spPr>
          <c:invertIfNegative val="0"/>
          <c:cat>
            <c:strRef>
              <c:f>Sheet1!$A$4:$A$7</c:f>
              <c:strCache>
                <c:ptCount val="3"/>
                <c:pt idx="0">
                  <c:v>Appliances</c:v>
                </c:pt>
                <c:pt idx="1">
                  <c:v>Electronics</c:v>
                </c:pt>
                <c:pt idx="2">
                  <c:v>Furniture</c:v>
                </c:pt>
              </c:strCache>
            </c:strRef>
          </c:cat>
          <c:val>
            <c:numRef>
              <c:f>Sheet1!$B$4:$B$7</c:f>
              <c:numCache>
                <c:formatCode>General</c:formatCode>
                <c:ptCount val="3"/>
                <c:pt idx="0">
                  <c:v>739.89</c:v>
                </c:pt>
                <c:pt idx="1">
                  <c:v>15709.689999999999</c:v>
                </c:pt>
                <c:pt idx="2">
                  <c:v>3449.8</c:v>
                </c:pt>
              </c:numCache>
            </c:numRef>
          </c:val>
          <c:extLst>
            <c:ext xmlns:c16="http://schemas.microsoft.com/office/drawing/2014/chart" uri="{C3380CC4-5D6E-409C-BE32-E72D297353CC}">
              <c16:uniqueId val="{00000000-5E95-42E5-AB04-F4A3083363D9}"/>
            </c:ext>
          </c:extLst>
        </c:ser>
        <c:dLbls>
          <c:showLegendKey val="0"/>
          <c:showVal val="0"/>
          <c:showCatName val="0"/>
          <c:showSerName val="0"/>
          <c:showPercent val="0"/>
          <c:showBubbleSize val="0"/>
        </c:dLbls>
        <c:gapWidth val="269"/>
        <c:overlap val="-20"/>
        <c:axId val="1948637712"/>
        <c:axId val="1948634832"/>
      </c:barChart>
      <c:catAx>
        <c:axId val="1948637712"/>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48634832"/>
        <c:crosses val="autoZero"/>
        <c:auto val="1"/>
        <c:lblAlgn val="ctr"/>
        <c:lblOffset val="100"/>
        <c:noMultiLvlLbl val="0"/>
      </c:catAx>
      <c:valAx>
        <c:axId val="19486348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863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Project.xlsx]Sheet1!PivotTable2</c:name>
    <c:fmtId val="2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Sheet1!$C$19</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22F-47FB-950F-9848E8E4A807}"/>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22F-47FB-950F-9848E8E4A807}"/>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22F-47FB-950F-9848E8E4A807}"/>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22F-47FB-950F-9848E8E4A807}"/>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322F-47FB-950F-9848E8E4A8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Sheet1!$B$20:$B$25</c:f>
              <c:strCache>
                <c:ptCount val="5"/>
                <c:pt idx="0">
                  <c:v>Central</c:v>
                </c:pt>
                <c:pt idx="1">
                  <c:v>East</c:v>
                </c:pt>
                <c:pt idx="2">
                  <c:v>North</c:v>
                </c:pt>
                <c:pt idx="3">
                  <c:v>South</c:v>
                </c:pt>
                <c:pt idx="4">
                  <c:v>West</c:v>
                </c:pt>
              </c:strCache>
            </c:strRef>
          </c:cat>
          <c:val>
            <c:numRef>
              <c:f>Sheet1!$C$20:$C$25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322F-47FB-950F-9848E8E4A807}"/>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 Final Project.xlsx]Sheet1!PivotTable3</c:name>
    <c:fmtId val="1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Sheet1!$M$19</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Sheet1!$L$20:$L$24</c:f>
              <c:strCache>
                <c:ptCount val="4"/>
                <c:pt idx="0">
                  <c:v>Cash</c:v>
                </c:pt>
                <c:pt idx="1">
                  <c:v>Credit Card</c:v>
                </c:pt>
                <c:pt idx="2">
                  <c:v>Debit Card</c:v>
                </c:pt>
                <c:pt idx="3">
                  <c:v>PayPal</c:v>
                </c:pt>
              </c:strCache>
            </c:strRef>
          </c:cat>
          <c:val>
            <c:numRef>
              <c:f>Sheet1!$M$20:$M$24</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0-7E01-4E1B-B3AB-867E05BD2DE1}"/>
            </c:ext>
          </c:extLst>
        </c:ser>
        <c:dLbls>
          <c:showLegendKey val="0"/>
          <c:showVal val="0"/>
          <c:showCatName val="0"/>
          <c:showSerName val="0"/>
          <c:showPercent val="0"/>
          <c:showBubbleSize val="0"/>
        </c:dLbls>
        <c:gapWidth val="150"/>
        <c:shape val="box"/>
        <c:axId val="4345936"/>
        <c:axId val="4350736"/>
        <c:axId val="0"/>
      </c:bar3DChart>
      <c:catAx>
        <c:axId val="43459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0736"/>
        <c:crosses val="autoZero"/>
        <c:auto val="1"/>
        <c:lblAlgn val="ctr"/>
        <c:lblOffset val="100"/>
        <c:noMultiLvlLbl val="0"/>
      </c:catAx>
      <c:valAx>
        <c:axId val="4350736"/>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Project.xlsx]Sheet2!PivotTable4</c:name>
    <c:fmtId val="4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0F3B-465C-A64A-3B70BA417241}"/>
            </c:ext>
          </c:extLst>
        </c:ser>
        <c:dLbls>
          <c:showLegendKey val="0"/>
          <c:showVal val="0"/>
          <c:showCatName val="0"/>
          <c:showSerName val="0"/>
          <c:showPercent val="0"/>
          <c:showBubbleSize val="0"/>
        </c:dLbls>
        <c:marker val="1"/>
        <c:smooth val="0"/>
        <c:axId val="4349296"/>
        <c:axId val="4343536"/>
      </c:lineChart>
      <c:catAx>
        <c:axId val="43492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43536"/>
        <c:crosses val="autoZero"/>
        <c:auto val="1"/>
        <c:lblAlgn val="ctr"/>
        <c:lblOffset val="100"/>
        <c:noMultiLvlLbl val="0"/>
      </c:catAx>
      <c:valAx>
        <c:axId val="43435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Project.xlsx]Sheet1!PivotTable1</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latin typeface="Bahnschrift Light Condensed" panose="020B0502040204020203" pitchFamily="34" charset="0"/>
              </a:rPr>
              <a:t>Sales</a:t>
            </a:r>
            <a:r>
              <a:rPr lang="en-IN" baseline="0">
                <a:latin typeface="Bahnschrift Light Condensed" panose="020B0502040204020203" pitchFamily="34" charset="0"/>
              </a:rPr>
              <a:t>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c:spPr>
        <c:marker>
          <c:symbol val="none"/>
        </c:marker>
        <c:dLbl>
          <c:idx val="0"/>
          <c:spPr>
            <a:solidFill>
              <a:srgbClr val="000000">
                <a:tint val="885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pattFill prst="ltUpDiag">
              <a:fgClr>
                <a:schemeClr val="dk1">
                  <a:tint val="88500"/>
                </a:schemeClr>
              </a:fgClr>
              <a:bgClr>
                <a:schemeClr val="lt1"/>
              </a:bgClr>
            </a:pattFill>
            <a:ln>
              <a:noFill/>
            </a:ln>
            <a:effectLst/>
          </c:spPr>
          <c:invertIfNegative val="0"/>
          <c:cat>
            <c:strRef>
              <c:f>Sheet1!$A$4:$A$7</c:f>
              <c:strCache>
                <c:ptCount val="3"/>
                <c:pt idx="0">
                  <c:v>Appliances</c:v>
                </c:pt>
                <c:pt idx="1">
                  <c:v>Electronics</c:v>
                </c:pt>
                <c:pt idx="2">
                  <c:v>Furniture</c:v>
                </c:pt>
              </c:strCache>
            </c:strRef>
          </c:cat>
          <c:val>
            <c:numRef>
              <c:f>Sheet1!$B$4:$B$7</c:f>
              <c:numCache>
                <c:formatCode>General</c:formatCode>
                <c:ptCount val="3"/>
                <c:pt idx="0">
                  <c:v>739.89</c:v>
                </c:pt>
                <c:pt idx="1">
                  <c:v>15709.689999999999</c:v>
                </c:pt>
                <c:pt idx="2">
                  <c:v>3449.8</c:v>
                </c:pt>
              </c:numCache>
            </c:numRef>
          </c:val>
          <c:extLst>
            <c:ext xmlns:c16="http://schemas.microsoft.com/office/drawing/2014/chart" uri="{C3380CC4-5D6E-409C-BE32-E72D297353CC}">
              <c16:uniqueId val="{00000000-A636-4748-85C5-2D55C801A6A7}"/>
            </c:ext>
          </c:extLst>
        </c:ser>
        <c:dLbls>
          <c:showLegendKey val="0"/>
          <c:showVal val="0"/>
          <c:showCatName val="0"/>
          <c:showSerName val="0"/>
          <c:showPercent val="0"/>
          <c:showBubbleSize val="0"/>
        </c:dLbls>
        <c:gapWidth val="269"/>
        <c:overlap val="-20"/>
        <c:axId val="1948637712"/>
        <c:axId val="1948634832"/>
      </c:barChart>
      <c:catAx>
        <c:axId val="1948637712"/>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48634832"/>
        <c:crosses val="autoZero"/>
        <c:auto val="1"/>
        <c:lblAlgn val="ctr"/>
        <c:lblOffset val="100"/>
        <c:noMultiLvlLbl val="0"/>
      </c:catAx>
      <c:valAx>
        <c:axId val="19486348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863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Project.xlsx]Sheet1!PivotTable2</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Sheet1!$C$19</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B86-4CAB-AB9C-7B21C88C805C}"/>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B86-4CAB-AB9C-7B21C88C805C}"/>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B86-4CAB-AB9C-7B21C88C805C}"/>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B86-4CAB-AB9C-7B21C88C805C}"/>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B86-4CAB-AB9C-7B21C88C80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Sheet1!$B$20:$B$25</c:f>
              <c:strCache>
                <c:ptCount val="5"/>
                <c:pt idx="0">
                  <c:v>Central</c:v>
                </c:pt>
                <c:pt idx="1">
                  <c:v>East</c:v>
                </c:pt>
                <c:pt idx="2">
                  <c:v>North</c:v>
                </c:pt>
                <c:pt idx="3">
                  <c:v>South</c:v>
                </c:pt>
                <c:pt idx="4">
                  <c:v>West</c:v>
                </c:pt>
              </c:strCache>
            </c:strRef>
          </c:cat>
          <c:val>
            <c:numRef>
              <c:f>Sheet1!$C$20:$C$25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F64-4FD4-8171-8A5D3C00128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 Final Project.xlsx]Sheet1!PivotTable3</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Sheet1!$M$19</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Sheet1!$L$20:$L$24</c:f>
              <c:strCache>
                <c:ptCount val="4"/>
                <c:pt idx="0">
                  <c:v>Cash</c:v>
                </c:pt>
                <c:pt idx="1">
                  <c:v>Credit Card</c:v>
                </c:pt>
                <c:pt idx="2">
                  <c:v>Debit Card</c:v>
                </c:pt>
                <c:pt idx="3">
                  <c:v>PayPal</c:v>
                </c:pt>
              </c:strCache>
            </c:strRef>
          </c:cat>
          <c:val>
            <c:numRef>
              <c:f>Sheet1!$M$20:$M$24</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0-AF12-41CD-B9DC-B3599718E1C3}"/>
            </c:ext>
          </c:extLst>
        </c:ser>
        <c:dLbls>
          <c:showLegendKey val="0"/>
          <c:showVal val="0"/>
          <c:showCatName val="0"/>
          <c:showSerName val="0"/>
          <c:showPercent val="0"/>
          <c:showBubbleSize val="0"/>
        </c:dLbls>
        <c:gapWidth val="150"/>
        <c:shape val="box"/>
        <c:axId val="4345936"/>
        <c:axId val="4350736"/>
        <c:axId val="0"/>
      </c:bar3DChart>
      <c:catAx>
        <c:axId val="43459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0736"/>
        <c:crosses val="autoZero"/>
        <c:auto val="1"/>
        <c:lblAlgn val="ctr"/>
        <c:lblOffset val="100"/>
        <c:noMultiLvlLbl val="0"/>
      </c:catAx>
      <c:valAx>
        <c:axId val="4350736"/>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Project.xlsx]Sheet2!PivotTable4</c:name>
    <c:fmtId val="2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F7B8-4AC0-BF15-5DEB14DFE45B}"/>
            </c:ext>
          </c:extLst>
        </c:ser>
        <c:dLbls>
          <c:showLegendKey val="0"/>
          <c:showVal val="0"/>
          <c:showCatName val="0"/>
          <c:showSerName val="0"/>
          <c:showPercent val="0"/>
          <c:showBubbleSize val="0"/>
        </c:dLbls>
        <c:marker val="1"/>
        <c:smooth val="0"/>
        <c:axId val="4349296"/>
        <c:axId val="4343536"/>
      </c:lineChart>
      <c:catAx>
        <c:axId val="43492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43536"/>
        <c:crosses val="autoZero"/>
        <c:auto val="1"/>
        <c:lblAlgn val="ctr"/>
        <c:lblOffset val="100"/>
        <c:noMultiLvlLbl val="0"/>
      </c:catAx>
      <c:valAx>
        <c:axId val="43435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594361</xdr:colOff>
      <xdr:row>5</xdr:row>
      <xdr:rowOff>144781</xdr:rowOff>
    </xdr:from>
    <xdr:to>
      <xdr:col>10</xdr:col>
      <xdr:colOff>7621</xdr:colOff>
      <xdr:row>18</xdr:row>
      <xdr:rowOff>152401</xdr:rowOff>
    </xdr:to>
    <xdr:graphicFrame macro="">
      <xdr:nvGraphicFramePr>
        <xdr:cNvPr id="2" name="Chart 1">
          <a:extLst>
            <a:ext uri="{FF2B5EF4-FFF2-40B4-BE49-F238E27FC236}">
              <a16:creationId xmlns:a16="http://schemas.microsoft.com/office/drawing/2014/main" id="{56ABA0ED-7104-4A8A-90A8-58D149534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91440</xdr:colOff>
      <xdr:row>5</xdr:row>
      <xdr:rowOff>53340</xdr:rowOff>
    </xdr:from>
    <xdr:to>
      <xdr:col>13</xdr:col>
      <xdr:colOff>405812</xdr:colOff>
      <xdr:row>23</xdr:row>
      <xdr:rowOff>84174</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6619BDC6-9455-44F7-9731-E00F64C37F9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734300" y="967740"/>
              <a:ext cx="1503092" cy="332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5</xdr:row>
      <xdr:rowOff>60960</xdr:rowOff>
    </xdr:from>
    <xdr:to>
      <xdr:col>17</xdr:col>
      <xdr:colOff>131492</xdr:colOff>
      <xdr:row>23</xdr:row>
      <xdr:rowOff>91794</xdr:rowOff>
    </xdr:to>
    <mc:AlternateContent xmlns:mc="http://schemas.openxmlformats.org/markup-compatibility/2006" xmlns:a14="http://schemas.microsoft.com/office/drawing/2010/main">
      <mc:Choice Requires="a14">
        <xdr:graphicFrame macro="">
          <xdr:nvGraphicFramePr>
            <xdr:cNvPr id="4" name="Month 2">
              <a:extLst>
                <a:ext uri="{FF2B5EF4-FFF2-40B4-BE49-F238E27FC236}">
                  <a16:creationId xmlns:a16="http://schemas.microsoft.com/office/drawing/2014/main" id="{0946C848-95A1-41C5-B1AD-DB58859CE69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9898380" y="975360"/>
              <a:ext cx="1503092" cy="332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243840</xdr:colOff>
      <xdr:row>28</xdr:row>
      <xdr:rowOff>152401</xdr:rowOff>
    </xdr:from>
    <xdr:to>
      <xdr:col>9</xdr:col>
      <xdr:colOff>556260</xdr:colOff>
      <xdr:row>40</xdr:row>
      <xdr:rowOff>68581</xdr:rowOff>
    </xdr:to>
    <xdr:graphicFrame macro="">
      <xdr:nvGraphicFramePr>
        <xdr:cNvPr id="5" name="Chart 4">
          <a:extLst>
            <a:ext uri="{FF2B5EF4-FFF2-40B4-BE49-F238E27FC236}">
              <a16:creationId xmlns:a16="http://schemas.microsoft.com/office/drawing/2014/main" id="{B7293D07-68B8-467A-9A8C-BF4BE2064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320040</xdr:colOff>
      <xdr:row>28</xdr:row>
      <xdr:rowOff>76200</xdr:rowOff>
    </xdr:from>
    <xdr:to>
      <xdr:col>20</xdr:col>
      <xdr:colOff>342900</xdr:colOff>
      <xdr:row>41</xdr:row>
      <xdr:rowOff>152399</xdr:rowOff>
    </xdr:to>
    <xdr:graphicFrame macro="">
      <xdr:nvGraphicFramePr>
        <xdr:cNvPr id="6" name="Chart 5">
          <a:extLst>
            <a:ext uri="{FF2B5EF4-FFF2-40B4-BE49-F238E27FC236}">
              <a16:creationId xmlns:a16="http://schemas.microsoft.com/office/drawing/2014/main" id="{66F93BF7-C632-4ADD-9101-82C8AC04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510540</xdr:colOff>
      <xdr:row>46</xdr:row>
      <xdr:rowOff>15240</xdr:rowOff>
    </xdr:from>
    <xdr:to>
      <xdr:col>13</xdr:col>
      <xdr:colOff>236220</xdr:colOff>
      <xdr:row>61</xdr:row>
      <xdr:rowOff>15240</xdr:rowOff>
    </xdr:to>
    <xdr:graphicFrame macro="">
      <xdr:nvGraphicFramePr>
        <xdr:cNvPr id="7" name="Chart 6">
          <a:extLst>
            <a:ext uri="{FF2B5EF4-FFF2-40B4-BE49-F238E27FC236}">
              <a16:creationId xmlns:a16="http://schemas.microsoft.com/office/drawing/2014/main" id="{97D4DBEE-A38A-4547-9B78-9A6221816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0</xdr:row>
      <xdr:rowOff>0</xdr:rowOff>
    </xdr:from>
    <xdr:to>
      <xdr:col>11</xdr:col>
      <xdr:colOff>114300</xdr:colOff>
      <xdr:row>14</xdr:row>
      <xdr:rowOff>83820</xdr:rowOff>
    </xdr:to>
    <xdr:graphicFrame macro="">
      <xdr:nvGraphicFramePr>
        <xdr:cNvPr id="2" name="Chart 1">
          <a:extLst>
            <a:ext uri="{FF2B5EF4-FFF2-40B4-BE49-F238E27FC236}">
              <a16:creationId xmlns:a16="http://schemas.microsoft.com/office/drawing/2014/main" id="{2E607779-CDE0-C0A3-252F-0328FCC68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175260</xdr:rowOff>
    </xdr:from>
    <xdr:to>
      <xdr:col>5</xdr:col>
      <xdr:colOff>274320</xdr:colOff>
      <xdr:row>39</xdr:row>
      <xdr:rowOff>175260</xdr:rowOff>
    </xdr:to>
    <xdr:graphicFrame macro="">
      <xdr:nvGraphicFramePr>
        <xdr:cNvPr id="3" name="Chart 2">
          <a:extLst>
            <a:ext uri="{FF2B5EF4-FFF2-40B4-BE49-F238E27FC236}">
              <a16:creationId xmlns:a16="http://schemas.microsoft.com/office/drawing/2014/main" id="{B5FB1F9C-1DCC-3570-ECE0-9093B607D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xdr:colOff>
      <xdr:row>24</xdr:row>
      <xdr:rowOff>175260</xdr:rowOff>
    </xdr:from>
    <xdr:to>
      <xdr:col>13</xdr:col>
      <xdr:colOff>556260</xdr:colOff>
      <xdr:row>39</xdr:row>
      <xdr:rowOff>175260</xdr:rowOff>
    </xdr:to>
    <xdr:graphicFrame macro="">
      <xdr:nvGraphicFramePr>
        <xdr:cNvPr id="4" name="Chart 3">
          <a:extLst>
            <a:ext uri="{FF2B5EF4-FFF2-40B4-BE49-F238E27FC236}">
              <a16:creationId xmlns:a16="http://schemas.microsoft.com/office/drawing/2014/main" id="{DC2DB6AF-AA4E-6AA2-94BA-EFB3645C9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118374</xdr:colOff>
      <xdr:row>0</xdr:row>
      <xdr:rowOff>0</xdr:rowOff>
    </xdr:from>
    <xdr:to>
      <xdr:col>12</xdr:col>
      <xdr:colOff>762001</xdr:colOff>
      <xdr:row>17</xdr:row>
      <xdr:rowOff>159488</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6B67F53-2886-4C8A-D0A0-A66FD4C9D59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18095" y="0"/>
              <a:ext cx="1503092" cy="332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774051</xdr:colOff>
      <xdr:row>0</xdr:row>
      <xdr:rowOff>7797</xdr:rowOff>
    </xdr:from>
    <xdr:to>
      <xdr:col>15</xdr:col>
      <xdr:colOff>24456</xdr:colOff>
      <xdr:row>8</xdr:row>
      <xdr:rowOff>17721</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8547C802-9440-BF65-0E60-2D7447F2170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033237" y="7797"/>
              <a:ext cx="1828800" cy="149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xdr:row>
      <xdr:rowOff>167640</xdr:rowOff>
    </xdr:from>
    <xdr:to>
      <xdr:col>12</xdr:col>
      <xdr:colOff>304800</xdr:colOff>
      <xdr:row>16</xdr:row>
      <xdr:rowOff>167640</xdr:rowOff>
    </xdr:to>
    <xdr:graphicFrame macro="">
      <xdr:nvGraphicFramePr>
        <xdr:cNvPr id="2" name="Chart 1">
          <a:extLst>
            <a:ext uri="{FF2B5EF4-FFF2-40B4-BE49-F238E27FC236}">
              <a16:creationId xmlns:a16="http://schemas.microsoft.com/office/drawing/2014/main" id="{7E428528-F58D-8F53-747B-E02A6A30B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CHAUHAN" refreshedDate="46078.598621064812" createdVersion="8" refreshedVersion="8" minRefreshableVersion="3" recordCount="250" xr:uid="{3468CCFB-036C-464E-BB82-3CCEF3545AE5}">
  <cacheSource type="worksheet">
    <worksheetSource name="Table1"/>
  </cacheSource>
  <cacheFields count="15">
    <cacheField name="Transaction_ID" numFmtId="0">
      <sharedItems/>
    </cacheField>
    <cacheField name="Date" numFmtId="0">
      <sharedItems containsSemiMixedTypes="0" containsString="0" containsNumber="1" containsInteger="1" minValue="45393" maxValue="45758"/>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0">
      <sharedItems containsSemiMixedTypes="0" containsString="0" containsNumber="1" containsInteger="1" minValue="44395" maxValue="45393"/>
    </cacheField>
    <cacheField name="Total_Amount" numFmtId="0">
      <sharedItems containsSemiMixedTypes="0" containsString="0" containsNumber="1" minValue="59.99" maxValue="4499.95"/>
    </cacheField>
    <cacheField name="Month" numFmtId="0">
      <sharedItems count="12">
        <s v="Apr"/>
        <s v="May"/>
        <s v="Jun"/>
        <s v="Jul"/>
        <s v="Aug"/>
        <s v="Sep"/>
        <s v="Oct"/>
        <s v="Nov"/>
        <s v="Dec"/>
        <s v="Jan"/>
        <s v="Feb"/>
        <s v="Mar"/>
      </sharedItems>
    </cacheField>
  </cacheFields>
  <extLst>
    <ext xmlns:x14="http://schemas.microsoft.com/office/spreadsheetml/2009/9/main" uri="{725AE2AE-9491-48be-B2B4-4EB974FC3084}">
      <x14:pivotCacheDefinition pivotCacheId="165770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n v="45393"/>
    <s v="CUST023"/>
    <x v="0"/>
    <s v="P009"/>
    <s v="Monitor"/>
    <x v="0"/>
    <n v="3"/>
    <n v="249.99"/>
    <x v="0"/>
    <x v="0"/>
    <x v="0"/>
    <n v="44425"/>
    <n v="749.97"/>
    <x v="0"/>
  </r>
  <r>
    <s v="TRX0023"/>
    <n v="45396"/>
    <s v="CUST013"/>
    <x v="1"/>
    <s v="P009"/>
    <s v="Monitor"/>
    <x v="0"/>
    <n v="3"/>
    <n v="249.99"/>
    <x v="1"/>
    <x v="0"/>
    <x v="1"/>
    <n v="44575"/>
    <n v="749.97"/>
    <x v="0"/>
  </r>
  <r>
    <s v="TRX0139"/>
    <n v="45399"/>
    <s v="CUST021"/>
    <x v="2"/>
    <s v="P005"/>
    <s v="Blender"/>
    <x v="1"/>
    <n v="3"/>
    <n v="59.99"/>
    <x v="2"/>
    <x v="1"/>
    <x v="2"/>
    <n v="45262"/>
    <n v="179.97"/>
    <x v="0"/>
  </r>
  <r>
    <s v="TRX0043"/>
    <n v="45400"/>
    <s v="CUST046"/>
    <x v="3"/>
    <s v="P005"/>
    <s v="Blender"/>
    <x v="1"/>
    <n v="3"/>
    <n v="59.99"/>
    <x v="0"/>
    <x v="2"/>
    <x v="1"/>
    <n v="45114"/>
    <n v="179.97"/>
    <x v="0"/>
  </r>
  <r>
    <s v="TRX0212"/>
    <n v="45400"/>
    <s v="CUST003"/>
    <x v="4"/>
    <s v="P008"/>
    <s v="Bookshelf"/>
    <x v="2"/>
    <n v="5"/>
    <n v="149.99"/>
    <x v="1"/>
    <x v="2"/>
    <x v="1"/>
    <n v="45295"/>
    <n v="749.95"/>
    <x v="0"/>
  </r>
  <r>
    <s v="TRX0092"/>
    <n v="45403"/>
    <s v="CUST024"/>
    <x v="5"/>
    <s v="P005"/>
    <s v="Blender"/>
    <x v="1"/>
    <n v="2"/>
    <n v="59.99"/>
    <x v="0"/>
    <x v="3"/>
    <x v="2"/>
    <n v="44746"/>
    <n v="119.98"/>
    <x v="0"/>
  </r>
  <r>
    <s v="TRX0193"/>
    <n v="45403"/>
    <s v="CUST024"/>
    <x v="5"/>
    <s v="P003"/>
    <s v="Headphones"/>
    <x v="0"/>
    <n v="5"/>
    <n v="149.99"/>
    <x v="1"/>
    <x v="0"/>
    <x v="2"/>
    <n v="44418"/>
    <n v="749.95"/>
    <x v="0"/>
  </r>
  <r>
    <s v="TRX0240"/>
    <n v="45403"/>
    <s v="CUST017"/>
    <x v="6"/>
    <s v="P005"/>
    <s v="Blender"/>
    <x v="1"/>
    <n v="3"/>
    <n v="59.99"/>
    <x v="3"/>
    <x v="1"/>
    <x v="0"/>
    <n v="45007"/>
    <n v="179.97"/>
    <x v="0"/>
  </r>
  <r>
    <s v="TRX0135"/>
    <n v="45405"/>
    <s v="CUST009"/>
    <x v="7"/>
    <s v="P001"/>
    <s v="Laptop"/>
    <x v="0"/>
    <n v="3"/>
    <n v="899.99"/>
    <x v="2"/>
    <x v="4"/>
    <x v="2"/>
    <n v="45299"/>
    <n v="2699.97"/>
    <x v="0"/>
  </r>
  <r>
    <s v="TRX0185"/>
    <n v="45408"/>
    <s v="CUST026"/>
    <x v="8"/>
    <s v="P005"/>
    <s v="Blender"/>
    <x v="1"/>
    <n v="3"/>
    <n v="59.99"/>
    <x v="0"/>
    <x v="3"/>
    <x v="1"/>
    <n v="45207"/>
    <n v="179.97"/>
    <x v="0"/>
  </r>
  <r>
    <s v="TRX0138"/>
    <n v="45408"/>
    <s v="CUST022"/>
    <x v="9"/>
    <s v="P008"/>
    <s v="Bookshelf"/>
    <x v="2"/>
    <n v="1"/>
    <n v="149.99"/>
    <x v="1"/>
    <x v="3"/>
    <x v="2"/>
    <n v="45103"/>
    <n v="149.99"/>
    <x v="0"/>
  </r>
  <r>
    <s v="TRX0209"/>
    <n v="45408"/>
    <s v="CUST046"/>
    <x v="3"/>
    <s v="P008"/>
    <s v="Bookshelf"/>
    <x v="2"/>
    <n v="5"/>
    <n v="149.99"/>
    <x v="3"/>
    <x v="2"/>
    <x v="0"/>
    <n v="44830"/>
    <n v="749.95"/>
    <x v="0"/>
  </r>
  <r>
    <s v="TRX0246"/>
    <n v="45408"/>
    <s v="CUST041"/>
    <x v="10"/>
    <s v="P008"/>
    <s v="Bookshelf"/>
    <x v="2"/>
    <n v="3"/>
    <n v="149.99"/>
    <x v="0"/>
    <x v="2"/>
    <x v="1"/>
    <n v="44806"/>
    <n v="449.97"/>
    <x v="0"/>
  </r>
  <r>
    <s v="TRX0067"/>
    <n v="45409"/>
    <s v="CUST043"/>
    <x v="11"/>
    <s v="P005"/>
    <s v="Blender"/>
    <x v="1"/>
    <n v="3"/>
    <n v="59.99"/>
    <x v="1"/>
    <x v="2"/>
    <x v="2"/>
    <n v="45351"/>
    <n v="179.97"/>
    <x v="0"/>
  </r>
  <r>
    <s v="TRX0191"/>
    <n v="45409"/>
    <s v="CUST038"/>
    <x v="12"/>
    <s v="P002"/>
    <s v="Smartphone"/>
    <x v="0"/>
    <n v="3"/>
    <n v="699.99"/>
    <x v="1"/>
    <x v="3"/>
    <x v="0"/>
    <n v="44577"/>
    <n v="2099.9699999999998"/>
    <x v="0"/>
  </r>
  <r>
    <s v="TRX0230"/>
    <n v="45409"/>
    <s v="CUST027"/>
    <x v="13"/>
    <s v="P001"/>
    <s v="Laptop"/>
    <x v="0"/>
    <n v="1"/>
    <n v="899.99"/>
    <x v="3"/>
    <x v="2"/>
    <x v="2"/>
    <n v="44920"/>
    <n v="899.99"/>
    <x v="0"/>
  </r>
  <r>
    <s v="TRX0049"/>
    <n v="45410"/>
    <s v="CUST025"/>
    <x v="14"/>
    <s v="P008"/>
    <s v="Bookshelf"/>
    <x v="2"/>
    <n v="4"/>
    <n v="149.99"/>
    <x v="3"/>
    <x v="2"/>
    <x v="1"/>
    <n v="45374"/>
    <n v="599.96"/>
    <x v="0"/>
  </r>
  <r>
    <s v="TRX0134"/>
    <n v="45410"/>
    <s v="CUST010"/>
    <x v="15"/>
    <s v="P002"/>
    <s v="Smartphone"/>
    <x v="0"/>
    <n v="2"/>
    <n v="699.99"/>
    <x v="0"/>
    <x v="2"/>
    <x v="0"/>
    <n v="44781"/>
    <n v="1399.98"/>
    <x v="0"/>
  </r>
  <r>
    <s v="TRX0122"/>
    <n v="45410"/>
    <s v="CUST025"/>
    <x v="14"/>
    <s v="P001"/>
    <s v="Laptop"/>
    <x v="0"/>
    <n v="4"/>
    <n v="899.99"/>
    <x v="1"/>
    <x v="3"/>
    <x v="2"/>
    <n v="45327"/>
    <n v="3599.96"/>
    <x v="0"/>
  </r>
  <r>
    <s v="TRX0222"/>
    <n v="45410"/>
    <s v="CUST048"/>
    <x v="16"/>
    <s v="P009"/>
    <s v="Monitor"/>
    <x v="0"/>
    <n v="3"/>
    <n v="249.99"/>
    <x v="1"/>
    <x v="2"/>
    <x v="1"/>
    <n v="45224"/>
    <n v="749.97"/>
    <x v="0"/>
  </r>
  <r>
    <s v="TRX0231"/>
    <n v="45412"/>
    <s v="CUST018"/>
    <x v="17"/>
    <s v="P002"/>
    <s v="Smartphone"/>
    <x v="0"/>
    <n v="5"/>
    <n v="699.99"/>
    <x v="0"/>
    <x v="3"/>
    <x v="0"/>
    <n v="45167"/>
    <n v="3499.95"/>
    <x v="0"/>
  </r>
  <r>
    <s v="TRX0239"/>
    <n v="45413"/>
    <s v="CUST012"/>
    <x v="18"/>
    <s v="P002"/>
    <s v="Smartphone"/>
    <x v="0"/>
    <n v="4"/>
    <n v="699.99"/>
    <x v="0"/>
    <x v="4"/>
    <x v="2"/>
    <n v="44409"/>
    <n v="2799.96"/>
    <x v="1"/>
  </r>
  <r>
    <s v="TRX0204"/>
    <n v="45415"/>
    <s v="CUST044"/>
    <x v="19"/>
    <s v="P009"/>
    <s v="Monitor"/>
    <x v="0"/>
    <n v="4"/>
    <n v="249.99"/>
    <x v="2"/>
    <x v="2"/>
    <x v="2"/>
    <n v="44468"/>
    <n v="999.96"/>
    <x v="1"/>
  </r>
  <r>
    <s v="TRX0242"/>
    <n v="45416"/>
    <s v="CUST025"/>
    <x v="14"/>
    <s v="P007"/>
    <s v="Desk"/>
    <x v="2"/>
    <n v="4"/>
    <n v="299.99"/>
    <x v="0"/>
    <x v="3"/>
    <x v="1"/>
    <n v="44716"/>
    <n v="1199.96"/>
    <x v="1"/>
  </r>
  <r>
    <s v="TRX0071"/>
    <n v="45422"/>
    <s v="CUST036"/>
    <x v="20"/>
    <s v="P009"/>
    <s v="Monitor"/>
    <x v="0"/>
    <n v="5"/>
    <n v="249.99"/>
    <x v="1"/>
    <x v="3"/>
    <x v="2"/>
    <n v="44525"/>
    <n v="1249.95"/>
    <x v="1"/>
  </r>
  <r>
    <s v="TRX0040"/>
    <n v="45424"/>
    <s v="CUST022"/>
    <x v="9"/>
    <s v="P007"/>
    <s v="Desk"/>
    <x v="2"/>
    <n v="5"/>
    <n v="299.99"/>
    <x v="2"/>
    <x v="4"/>
    <x v="0"/>
    <n v="45168"/>
    <n v="1499.95"/>
    <x v="1"/>
  </r>
  <r>
    <s v="TRX0235"/>
    <n v="45424"/>
    <s v="CUST014"/>
    <x v="21"/>
    <s v="P004"/>
    <s v="Coffee Maker"/>
    <x v="1"/>
    <n v="3"/>
    <n v="79.989999999999995"/>
    <x v="2"/>
    <x v="4"/>
    <x v="1"/>
    <n v="45012"/>
    <n v="239.97"/>
    <x v="1"/>
  </r>
  <r>
    <s v="TRX0004"/>
    <n v="45424"/>
    <s v="CUST012"/>
    <x v="18"/>
    <s v="P010"/>
    <s v="Keyboard"/>
    <x v="0"/>
    <n v="5"/>
    <n v="89.99"/>
    <x v="0"/>
    <x v="2"/>
    <x v="1"/>
    <n v="44919"/>
    <n v="449.95"/>
    <x v="1"/>
  </r>
  <r>
    <s v="TRX0063"/>
    <n v="45425"/>
    <s v="CUST030"/>
    <x v="22"/>
    <s v="P005"/>
    <s v="Blender"/>
    <x v="1"/>
    <n v="2"/>
    <n v="59.99"/>
    <x v="3"/>
    <x v="0"/>
    <x v="2"/>
    <n v="45214"/>
    <n v="119.98"/>
    <x v="1"/>
  </r>
  <r>
    <s v="TRX0241"/>
    <n v="45427"/>
    <s v="CUST029"/>
    <x v="23"/>
    <s v="P005"/>
    <s v="Blender"/>
    <x v="1"/>
    <n v="4"/>
    <n v="59.99"/>
    <x v="3"/>
    <x v="4"/>
    <x v="2"/>
    <n v="44867"/>
    <n v="239.96"/>
    <x v="1"/>
  </r>
  <r>
    <s v="TRX0029"/>
    <n v="45427"/>
    <s v="CUST017"/>
    <x v="6"/>
    <s v="P006"/>
    <s v="Office Chair"/>
    <x v="2"/>
    <n v="5"/>
    <n v="199.99"/>
    <x v="0"/>
    <x v="1"/>
    <x v="2"/>
    <n v="44412"/>
    <n v="999.95"/>
    <x v="1"/>
  </r>
  <r>
    <s v="TRX0194"/>
    <n v="45428"/>
    <s v="CUST006"/>
    <x v="24"/>
    <s v="P008"/>
    <s v="Bookshelf"/>
    <x v="2"/>
    <n v="2"/>
    <n v="149.99"/>
    <x v="1"/>
    <x v="3"/>
    <x v="0"/>
    <n v="44823"/>
    <n v="299.98"/>
    <x v="1"/>
  </r>
  <r>
    <s v="TRX0130"/>
    <n v="45430"/>
    <s v="CUST002"/>
    <x v="25"/>
    <s v="P008"/>
    <s v="Bookshelf"/>
    <x v="2"/>
    <n v="3"/>
    <n v="149.99"/>
    <x v="1"/>
    <x v="3"/>
    <x v="1"/>
    <n v="45068"/>
    <n v="449.97"/>
    <x v="1"/>
  </r>
  <r>
    <s v="TRX0041"/>
    <n v="45432"/>
    <s v="CUST021"/>
    <x v="2"/>
    <s v="P001"/>
    <s v="Laptop"/>
    <x v="0"/>
    <n v="1"/>
    <n v="899.99"/>
    <x v="1"/>
    <x v="3"/>
    <x v="1"/>
    <n v="44578"/>
    <n v="899.99"/>
    <x v="1"/>
  </r>
  <r>
    <s v="TRX0232"/>
    <n v="45434"/>
    <s v="CUST012"/>
    <x v="18"/>
    <s v="P007"/>
    <s v="Desk"/>
    <x v="2"/>
    <n v="3"/>
    <n v="299.99"/>
    <x v="1"/>
    <x v="4"/>
    <x v="0"/>
    <n v="44824"/>
    <n v="899.97"/>
    <x v="1"/>
  </r>
  <r>
    <s v="TRX0021"/>
    <n v="45435"/>
    <s v="CUST006"/>
    <x v="24"/>
    <s v="P004"/>
    <s v="Coffee Maker"/>
    <x v="1"/>
    <n v="3"/>
    <n v="79.989999999999995"/>
    <x v="0"/>
    <x v="1"/>
    <x v="0"/>
    <n v="45046"/>
    <n v="239.97"/>
    <x v="1"/>
  </r>
  <r>
    <s v="TRX0245"/>
    <n v="45438"/>
    <s v="CUST031"/>
    <x v="26"/>
    <s v="P006"/>
    <s v="Office Chair"/>
    <x v="2"/>
    <n v="3"/>
    <n v="199.99"/>
    <x v="1"/>
    <x v="2"/>
    <x v="1"/>
    <n v="45292"/>
    <n v="599.97"/>
    <x v="1"/>
  </r>
  <r>
    <s v="TRX0015"/>
    <n v="45440"/>
    <s v="CUST008"/>
    <x v="27"/>
    <s v="P002"/>
    <s v="Smartphone"/>
    <x v="0"/>
    <n v="5"/>
    <n v="699.99"/>
    <x v="2"/>
    <x v="3"/>
    <x v="2"/>
    <n v="44407"/>
    <n v="3499.95"/>
    <x v="1"/>
  </r>
  <r>
    <s v="TRX0202"/>
    <n v="45441"/>
    <s v="CUST035"/>
    <x v="28"/>
    <s v="P010"/>
    <s v="Keyboard"/>
    <x v="0"/>
    <n v="3"/>
    <n v="89.99"/>
    <x v="2"/>
    <x v="0"/>
    <x v="1"/>
    <n v="45120"/>
    <n v="269.97000000000003"/>
    <x v="1"/>
  </r>
  <r>
    <s v="TRX0042"/>
    <n v="45443"/>
    <s v="CUST019"/>
    <x v="29"/>
    <s v="P004"/>
    <s v="Coffee Maker"/>
    <x v="1"/>
    <n v="1"/>
    <n v="79.989999999999995"/>
    <x v="0"/>
    <x v="2"/>
    <x v="2"/>
    <n v="44917"/>
    <n v="79.989999999999995"/>
    <x v="1"/>
  </r>
  <r>
    <s v="TRX0128"/>
    <n v="45444"/>
    <s v="CUST040"/>
    <x v="30"/>
    <s v="P005"/>
    <s v="Blender"/>
    <x v="1"/>
    <n v="2"/>
    <n v="59.99"/>
    <x v="0"/>
    <x v="3"/>
    <x v="0"/>
    <n v="45390"/>
    <n v="119.98"/>
    <x v="2"/>
  </r>
  <r>
    <s v="TRX0117"/>
    <n v="45444"/>
    <s v="CUST017"/>
    <x v="6"/>
    <s v="P010"/>
    <s v="Keyboard"/>
    <x v="0"/>
    <n v="1"/>
    <n v="89.99"/>
    <x v="0"/>
    <x v="2"/>
    <x v="0"/>
    <n v="45141"/>
    <n v="89.99"/>
    <x v="2"/>
  </r>
  <r>
    <s v="TRX0208"/>
    <n v="45446"/>
    <s v="CUST004"/>
    <x v="31"/>
    <s v="P010"/>
    <s v="Keyboard"/>
    <x v="0"/>
    <n v="5"/>
    <n v="89.99"/>
    <x v="1"/>
    <x v="4"/>
    <x v="2"/>
    <n v="44587"/>
    <n v="449.95"/>
    <x v="2"/>
  </r>
  <r>
    <s v="TRX0234"/>
    <n v="45449"/>
    <s v="CUST013"/>
    <x v="1"/>
    <s v="P009"/>
    <s v="Monitor"/>
    <x v="0"/>
    <n v="5"/>
    <n v="249.99"/>
    <x v="1"/>
    <x v="4"/>
    <x v="2"/>
    <n v="44707"/>
    <n v="1249.95"/>
    <x v="2"/>
  </r>
  <r>
    <s v="TRX0121"/>
    <n v="45449"/>
    <s v="CUST028"/>
    <x v="32"/>
    <s v="P010"/>
    <s v="Keyboard"/>
    <x v="0"/>
    <n v="1"/>
    <n v="89.99"/>
    <x v="1"/>
    <x v="1"/>
    <x v="2"/>
    <n v="44582"/>
    <n v="89.99"/>
    <x v="2"/>
  </r>
  <r>
    <s v="TRX0220"/>
    <n v="45450"/>
    <s v="CUST003"/>
    <x v="4"/>
    <s v="P008"/>
    <s v="Bookshelf"/>
    <x v="2"/>
    <n v="2"/>
    <n v="149.99"/>
    <x v="0"/>
    <x v="4"/>
    <x v="1"/>
    <n v="44645"/>
    <n v="299.98"/>
    <x v="2"/>
  </r>
  <r>
    <s v="TRX0093"/>
    <n v="45452"/>
    <s v="CUST050"/>
    <x v="33"/>
    <s v="P005"/>
    <s v="Blender"/>
    <x v="1"/>
    <n v="4"/>
    <n v="59.99"/>
    <x v="0"/>
    <x v="4"/>
    <x v="2"/>
    <n v="44435"/>
    <n v="239.96"/>
    <x v="2"/>
  </r>
  <r>
    <s v="TRX0088"/>
    <n v="45456"/>
    <s v="CUST006"/>
    <x v="24"/>
    <s v="P010"/>
    <s v="Keyboard"/>
    <x v="0"/>
    <n v="5"/>
    <n v="89.99"/>
    <x v="0"/>
    <x v="0"/>
    <x v="1"/>
    <n v="44579"/>
    <n v="449.95"/>
    <x v="2"/>
  </r>
  <r>
    <s v="TRX0115"/>
    <n v="45459"/>
    <s v="CUST012"/>
    <x v="18"/>
    <s v="P010"/>
    <s v="Keyboard"/>
    <x v="0"/>
    <n v="2"/>
    <n v="89.99"/>
    <x v="1"/>
    <x v="1"/>
    <x v="1"/>
    <n v="44471"/>
    <n v="179.98"/>
    <x v="2"/>
  </r>
  <r>
    <s v="TRX0154"/>
    <n v="45459"/>
    <s v="CUST023"/>
    <x v="0"/>
    <s v="P001"/>
    <s v="Laptop"/>
    <x v="0"/>
    <n v="5"/>
    <n v="899.99"/>
    <x v="1"/>
    <x v="1"/>
    <x v="2"/>
    <n v="44974"/>
    <n v="4499.95"/>
    <x v="2"/>
  </r>
  <r>
    <s v="TRX0044"/>
    <n v="45459"/>
    <s v="CUST029"/>
    <x v="23"/>
    <s v="P001"/>
    <s v="Laptop"/>
    <x v="0"/>
    <n v="5"/>
    <n v="899.99"/>
    <x v="2"/>
    <x v="4"/>
    <x v="1"/>
    <n v="45278"/>
    <n v="4499.95"/>
    <x v="2"/>
  </r>
  <r>
    <s v="TRX0061"/>
    <n v="45460"/>
    <s v="CUST028"/>
    <x v="32"/>
    <s v="P005"/>
    <s v="Blender"/>
    <x v="1"/>
    <n v="1"/>
    <n v="59.99"/>
    <x v="3"/>
    <x v="3"/>
    <x v="1"/>
    <n v="45190"/>
    <n v="59.99"/>
    <x v="2"/>
  </r>
  <r>
    <s v="TRX0150"/>
    <n v="45460"/>
    <s v="CUST008"/>
    <x v="27"/>
    <s v="P007"/>
    <s v="Desk"/>
    <x v="2"/>
    <n v="2"/>
    <n v="299.99"/>
    <x v="3"/>
    <x v="4"/>
    <x v="2"/>
    <n v="45253"/>
    <n v="599.98"/>
    <x v="2"/>
  </r>
  <r>
    <s v="TRX0025"/>
    <n v="45468"/>
    <s v="CUST049"/>
    <x v="34"/>
    <s v="P010"/>
    <s v="Keyboard"/>
    <x v="0"/>
    <n v="4"/>
    <n v="89.99"/>
    <x v="3"/>
    <x v="1"/>
    <x v="0"/>
    <n v="45281"/>
    <n v="359.96"/>
    <x v="2"/>
  </r>
  <r>
    <s v="TRX0078"/>
    <n v="45469"/>
    <s v="CUST021"/>
    <x v="2"/>
    <s v="P004"/>
    <s v="Coffee Maker"/>
    <x v="1"/>
    <n v="1"/>
    <n v="79.989999999999995"/>
    <x v="2"/>
    <x v="0"/>
    <x v="1"/>
    <n v="45352"/>
    <n v="79.989999999999995"/>
    <x v="2"/>
  </r>
  <r>
    <s v="TRX0007"/>
    <n v="45469"/>
    <s v="CUST009"/>
    <x v="7"/>
    <s v="P010"/>
    <s v="Keyboard"/>
    <x v="0"/>
    <n v="2"/>
    <n v="89.99"/>
    <x v="0"/>
    <x v="3"/>
    <x v="0"/>
    <n v="44438"/>
    <n v="179.98"/>
    <x v="2"/>
  </r>
  <r>
    <s v="TRX0184"/>
    <n v="45471"/>
    <s v="CUST046"/>
    <x v="3"/>
    <s v="P002"/>
    <s v="Smartphone"/>
    <x v="0"/>
    <n v="3"/>
    <n v="699.99"/>
    <x v="1"/>
    <x v="4"/>
    <x v="1"/>
    <n v="45102"/>
    <n v="2099.9699999999998"/>
    <x v="2"/>
  </r>
  <r>
    <s v="TRX0104"/>
    <n v="45471"/>
    <s v="CUST012"/>
    <x v="18"/>
    <s v="P001"/>
    <s v="Laptop"/>
    <x v="0"/>
    <n v="4"/>
    <n v="899.99"/>
    <x v="1"/>
    <x v="4"/>
    <x v="1"/>
    <n v="44993"/>
    <n v="3599.96"/>
    <x v="2"/>
  </r>
  <r>
    <s v="TRX0127"/>
    <n v="45472"/>
    <s v="CUST030"/>
    <x v="22"/>
    <s v="P008"/>
    <s v="Bookshelf"/>
    <x v="2"/>
    <n v="1"/>
    <n v="149.99"/>
    <x v="2"/>
    <x v="4"/>
    <x v="0"/>
    <n v="44851"/>
    <n v="149.99"/>
    <x v="2"/>
  </r>
  <r>
    <s v="TRX0096"/>
    <n v="45474"/>
    <s v="CUST002"/>
    <x v="25"/>
    <s v="P010"/>
    <s v="Keyboard"/>
    <x v="0"/>
    <n v="2"/>
    <n v="89.99"/>
    <x v="2"/>
    <x v="0"/>
    <x v="1"/>
    <n v="45275"/>
    <n v="179.98"/>
    <x v="3"/>
  </r>
  <r>
    <s v="TRX0192"/>
    <n v="45475"/>
    <s v="CUST017"/>
    <x v="6"/>
    <s v="P010"/>
    <s v="Keyboard"/>
    <x v="0"/>
    <n v="1"/>
    <n v="89.99"/>
    <x v="2"/>
    <x v="3"/>
    <x v="2"/>
    <n v="44802"/>
    <n v="89.99"/>
    <x v="3"/>
  </r>
  <r>
    <s v="TRX0052"/>
    <n v="45476"/>
    <s v="CUST022"/>
    <x v="9"/>
    <s v="P010"/>
    <s v="Keyboard"/>
    <x v="0"/>
    <n v="1"/>
    <n v="89.99"/>
    <x v="0"/>
    <x v="1"/>
    <x v="2"/>
    <n v="44611"/>
    <n v="89.99"/>
    <x v="3"/>
  </r>
  <r>
    <s v="TRX0070"/>
    <n v="45476"/>
    <s v="CUST007"/>
    <x v="35"/>
    <s v="P004"/>
    <s v="Coffee Maker"/>
    <x v="1"/>
    <n v="5"/>
    <n v="79.989999999999995"/>
    <x v="3"/>
    <x v="0"/>
    <x v="0"/>
    <n v="44981"/>
    <n v="399.95"/>
    <x v="3"/>
  </r>
  <r>
    <s v="TRX0086"/>
    <n v="45481"/>
    <s v="CUST020"/>
    <x v="36"/>
    <s v="P008"/>
    <s v="Bookshelf"/>
    <x v="2"/>
    <n v="1"/>
    <n v="149.99"/>
    <x v="2"/>
    <x v="2"/>
    <x v="0"/>
    <n v="44421"/>
    <n v="149.99"/>
    <x v="3"/>
  </r>
  <r>
    <s v="TRX0113"/>
    <n v="45481"/>
    <s v="CUST003"/>
    <x v="4"/>
    <s v="P002"/>
    <s v="Smartphone"/>
    <x v="0"/>
    <n v="2"/>
    <n v="699.99"/>
    <x v="2"/>
    <x v="4"/>
    <x v="1"/>
    <n v="45389"/>
    <n v="1399.98"/>
    <x v="3"/>
  </r>
  <r>
    <s v="TRX0114"/>
    <n v="45481"/>
    <s v="CUST018"/>
    <x v="17"/>
    <s v="P010"/>
    <s v="Keyboard"/>
    <x v="0"/>
    <n v="5"/>
    <n v="89.99"/>
    <x v="3"/>
    <x v="2"/>
    <x v="1"/>
    <n v="45161"/>
    <n v="449.95"/>
    <x v="3"/>
  </r>
  <r>
    <s v="TRX0136"/>
    <n v="45482"/>
    <s v="CUST049"/>
    <x v="34"/>
    <s v="P005"/>
    <s v="Blender"/>
    <x v="1"/>
    <n v="4"/>
    <n v="59.99"/>
    <x v="0"/>
    <x v="1"/>
    <x v="2"/>
    <n v="44509"/>
    <n v="239.96"/>
    <x v="3"/>
  </r>
  <r>
    <s v="TRX0018"/>
    <n v="45484"/>
    <s v="CUST013"/>
    <x v="1"/>
    <s v="P003"/>
    <s v="Headphones"/>
    <x v="0"/>
    <n v="1"/>
    <n v="149.99"/>
    <x v="0"/>
    <x v="0"/>
    <x v="2"/>
    <n v="44909"/>
    <n v="149.99"/>
    <x v="3"/>
  </r>
  <r>
    <s v="TRX0141"/>
    <n v="45484"/>
    <s v="CUST033"/>
    <x v="37"/>
    <s v="P007"/>
    <s v="Desk"/>
    <x v="2"/>
    <n v="1"/>
    <n v="299.99"/>
    <x v="1"/>
    <x v="2"/>
    <x v="1"/>
    <n v="44891"/>
    <n v="299.99"/>
    <x v="3"/>
  </r>
  <r>
    <s v="TRX0097"/>
    <n v="45487"/>
    <s v="CUST033"/>
    <x v="37"/>
    <s v="P006"/>
    <s v="Office Chair"/>
    <x v="2"/>
    <n v="2"/>
    <n v="199.99"/>
    <x v="0"/>
    <x v="2"/>
    <x v="0"/>
    <n v="44541"/>
    <n v="399.98"/>
    <x v="3"/>
  </r>
  <r>
    <s v="TRX0169"/>
    <n v="45490"/>
    <s v="CUST047"/>
    <x v="38"/>
    <s v="P005"/>
    <s v="Blender"/>
    <x v="1"/>
    <n v="3"/>
    <n v="59.99"/>
    <x v="1"/>
    <x v="3"/>
    <x v="0"/>
    <n v="45130"/>
    <n v="179.97"/>
    <x v="3"/>
  </r>
  <r>
    <s v="TRX0216"/>
    <n v="45490"/>
    <s v="CUST041"/>
    <x v="10"/>
    <s v="P008"/>
    <s v="Bookshelf"/>
    <x v="2"/>
    <n v="3"/>
    <n v="149.99"/>
    <x v="0"/>
    <x v="0"/>
    <x v="1"/>
    <n v="45199"/>
    <n v="449.97"/>
    <x v="3"/>
  </r>
  <r>
    <s v="TRX0131"/>
    <n v="45491"/>
    <s v="CUST026"/>
    <x v="8"/>
    <s v="P006"/>
    <s v="Office Chair"/>
    <x v="2"/>
    <n v="3"/>
    <n v="199.99"/>
    <x v="0"/>
    <x v="2"/>
    <x v="1"/>
    <n v="45254"/>
    <n v="599.97"/>
    <x v="3"/>
  </r>
  <r>
    <s v="TRX0162"/>
    <n v="45496"/>
    <s v="CUST040"/>
    <x v="30"/>
    <s v="P001"/>
    <s v="Laptop"/>
    <x v="0"/>
    <n v="1"/>
    <n v="899.99"/>
    <x v="0"/>
    <x v="0"/>
    <x v="2"/>
    <n v="45179"/>
    <n v="899.99"/>
    <x v="3"/>
  </r>
  <r>
    <s v="TRX0244"/>
    <n v="45497"/>
    <s v="CUST013"/>
    <x v="1"/>
    <s v="P001"/>
    <s v="Laptop"/>
    <x v="0"/>
    <n v="5"/>
    <n v="899.99"/>
    <x v="3"/>
    <x v="1"/>
    <x v="2"/>
    <n v="44899"/>
    <n v="4499.95"/>
    <x v="3"/>
  </r>
  <r>
    <s v="TRX0006"/>
    <n v="45498"/>
    <s v="CUST007"/>
    <x v="35"/>
    <s v="P005"/>
    <s v="Blender"/>
    <x v="1"/>
    <n v="2"/>
    <n v="59.99"/>
    <x v="0"/>
    <x v="2"/>
    <x v="2"/>
    <n v="45152"/>
    <n v="119.98"/>
    <x v="3"/>
  </r>
  <r>
    <s v="TRX0215"/>
    <n v="45498"/>
    <s v="CUST047"/>
    <x v="38"/>
    <s v="P009"/>
    <s v="Monitor"/>
    <x v="0"/>
    <n v="4"/>
    <n v="249.99"/>
    <x v="3"/>
    <x v="0"/>
    <x v="2"/>
    <n v="45127"/>
    <n v="999.96"/>
    <x v="3"/>
  </r>
  <r>
    <s v="TRX0080"/>
    <n v="45500"/>
    <s v="CUST018"/>
    <x v="17"/>
    <s v="P009"/>
    <s v="Monitor"/>
    <x v="0"/>
    <n v="2"/>
    <n v="249.99"/>
    <x v="0"/>
    <x v="2"/>
    <x v="1"/>
    <n v="45164"/>
    <n v="499.98"/>
    <x v="3"/>
  </r>
  <r>
    <s v="TRX0228"/>
    <n v="45500"/>
    <s v="CUST019"/>
    <x v="29"/>
    <s v="P007"/>
    <s v="Desk"/>
    <x v="2"/>
    <n v="1"/>
    <n v="299.99"/>
    <x v="0"/>
    <x v="1"/>
    <x v="0"/>
    <n v="44982"/>
    <n v="299.99"/>
    <x v="3"/>
  </r>
  <r>
    <s v="TRX0157"/>
    <n v="45501"/>
    <s v="CUST025"/>
    <x v="14"/>
    <s v="P010"/>
    <s v="Keyboard"/>
    <x v="0"/>
    <n v="2"/>
    <n v="89.99"/>
    <x v="2"/>
    <x v="1"/>
    <x v="0"/>
    <n v="44976"/>
    <n v="179.98"/>
    <x v="3"/>
  </r>
  <r>
    <s v="TRX0002"/>
    <n v="45501"/>
    <s v="CUST019"/>
    <x v="29"/>
    <s v="P007"/>
    <s v="Desk"/>
    <x v="2"/>
    <n v="3"/>
    <n v="299.99"/>
    <x v="0"/>
    <x v="0"/>
    <x v="0"/>
    <n v="44732"/>
    <n v="899.97"/>
    <x v="3"/>
  </r>
  <r>
    <s v="TRX0217"/>
    <n v="45503"/>
    <s v="CUST025"/>
    <x v="14"/>
    <s v="P002"/>
    <s v="Smartphone"/>
    <x v="0"/>
    <n v="2"/>
    <n v="699.99"/>
    <x v="1"/>
    <x v="2"/>
    <x v="1"/>
    <n v="44999"/>
    <n v="1399.98"/>
    <x v="3"/>
  </r>
  <r>
    <s v="TRX0249"/>
    <n v="45504"/>
    <s v="CUST030"/>
    <x v="22"/>
    <s v="P001"/>
    <s v="Laptop"/>
    <x v="0"/>
    <n v="4"/>
    <n v="899.99"/>
    <x v="3"/>
    <x v="1"/>
    <x v="2"/>
    <n v="44523"/>
    <n v="3599.96"/>
    <x v="3"/>
  </r>
  <r>
    <s v="TRX0065"/>
    <n v="45509"/>
    <s v="CUST016"/>
    <x v="39"/>
    <s v="P008"/>
    <s v="Bookshelf"/>
    <x v="2"/>
    <n v="2"/>
    <n v="149.99"/>
    <x v="1"/>
    <x v="3"/>
    <x v="0"/>
    <n v="44542"/>
    <n v="299.98"/>
    <x v="4"/>
  </r>
  <r>
    <s v="TRX0176"/>
    <n v="45510"/>
    <s v="CUST044"/>
    <x v="19"/>
    <s v="P008"/>
    <s v="Bookshelf"/>
    <x v="2"/>
    <n v="2"/>
    <n v="149.99"/>
    <x v="3"/>
    <x v="4"/>
    <x v="2"/>
    <n v="44667"/>
    <n v="299.98"/>
    <x v="4"/>
  </r>
  <r>
    <s v="TRX0101"/>
    <n v="45513"/>
    <s v="CUST010"/>
    <x v="15"/>
    <s v="P010"/>
    <s v="Keyboard"/>
    <x v="0"/>
    <n v="1"/>
    <n v="89.99"/>
    <x v="1"/>
    <x v="2"/>
    <x v="2"/>
    <n v="45393"/>
    <n v="89.99"/>
    <x v="4"/>
  </r>
  <r>
    <s v="TRX0205"/>
    <n v="45515"/>
    <s v="CUST025"/>
    <x v="14"/>
    <s v="P007"/>
    <s v="Desk"/>
    <x v="2"/>
    <n v="5"/>
    <n v="299.99"/>
    <x v="1"/>
    <x v="2"/>
    <x v="0"/>
    <n v="44965"/>
    <n v="1499.95"/>
    <x v="4"/>
  </r>
  <r>
    <s v="TRX0020"/>
    <n v="45517"/>
    <s v="CUST007"/>
    <x v="35"/>
    <s v="P003"/>
    <s v="Headphones"/>
    <x v="0"/>
    <n v="4"/>
    <n v="149.99"/>
    <x v="3"/>
    <x v="1"/>
    <x v="1"/>
    <n v="44820"/>
    <n v="599.96"/>
    <x v="4"/>
  </r>
  <r>
    <s v="TRX0075"/>
    <n v="45517"/>
    <s v="CUST020"/>
    <x v="36"/>
    <s v="P009"/>
    <s v="Monitor"/>
    <x v="0"/>
    <n v="5"/>
    <n v="249.99"/>
    <x v="2"/>
    <x v="4"/>
    <x v="1"/>
    <n v="44782"/>
    <n v="1249.95"/>
    <x v="4"/>
  </r>
  <r>
    <s v="TRX0098"/>
    <n v="45517"/>
    <s v="CUST026"/>
    <x v="8"/>
    <s v="P009"/>
    <s v="Monitor"/>
    <x v="0"/>
    <n v="3"/>
    <n v="249.99"/>
    <x v="2"/>
    <x v="2"/>
    <x v="1"/>
    <n v="44465"/>
    <n v="749.97"/>
    <x v="4"/>
  </r>
  <r>
    <s v="TRX0247"/>
    <n v="45517"/>
    <s v="CUST046"/>
    <x v="3"/>
    <s v="P006"/>
    <s v="Office Chair"/>
    <x v="2"/>
    <n v="4"/>
    <n v="199.99"/>
    <x v="0"/>
    <x v="2"/>
    <x v="2"/>
    <n v="44458"/>
    <n v="799.96"/>
    <x v="4"/>
  </r>
  <r>
    <s v="TRX0027"/>
    <n v="45519"/>
    <s v="CUST028"/>
    <x v="32"/>
    <s v="P006"/>
    <s v="Office Chair"/>
    <x v="2"/>
    <n v="5"/>
    <n v="199.99"/>
    <x v="0"/>
    <x v="2"/>
    <x v="1"/>
    <n v="44991"/>
    <n v="999.95"/>
    <x v="4"/>
  </r>
  <r>
    <s v="TRX0140"/>
    <n v="45522"/>
    <s v="CUST025"/>
    <x v="14"/>
    <s v="P010"/>
    <s v="Keyboard"/>
    <x v="0"/>
    <n v="2"/>
    <n v="89.99"/>
    <x v="0"/>
    <x v="4"/>
    <x v="1"/>
    <n v="44972"/>
    <n v="179.98"/>
    <x v="4"/>
  </r>
  <r>
    <s v="TRX0132"/>
    <n v="45523"/>
    <s v="CUST047"/>
    <x v="38"/>
    <s v="P001"/>
    <s v="Laptop"/>
    <x v="0"/>
    <n v="5"/>
    <n v="899.99"/>
    <x v="3"/>
    <x v="4"/>
    <x v="0"/>
    <n v="44526"/>
    <n v="4499.95"/>
    <x v="4"/>
  </r>
  <r>
    <s v="TRX0031"/>
    <n v="45523"/>
    <s v="CUST036"/>
    <x v="20"/>
    <s v="P003"/>
    <s v="Headphones"/>
    <x v="0"/>
    <n v="3"/>
    <n v="149.99"/>
    <x v="2"/>
    <x v="4"/>
    <x v="0"/>
    <n v="44574"/>
    <n v="449.97"/>
    <x v="4"/>
  </r>
  <r>
    <s v="TRX0236"/>
    <n v="45526"/>
    <s v="CUST044"/>
    <x v="19"/>
    <s v="P008"/>
    <s v="Bookshelf"/>
    <x v="2"/>
    <n v="5"/>
    <n v="149.99"/>
    <x v="1"/>
    <x v="0"/>
    <x v="0"/>
    <n v="45310"/>
    <n v="749.95"/>
    <x v="4"/>
  </r>
  <r>
    <s v="TRX0001"/>
    <n v="45528"/>
    <s v="CUST039"/>
    <x v="40"/>
    <s v="P004"/>
    <s v="Coffee Maker"/>
    <x v="1"/>
    <n v="3"/>
    <n v="79.989999999999995"/>
    <x v="0"/>
    <x v="0"/>
    <x v="1"/>
    <n v="44779"/>
    <n v="239.97"/>
    <x v="4"/>
  </r>
  <r>
    <s v="TRX0037"/>
    <n v="45528"/>
    <s v="CUST035"/>
    <x v="28"/>
    <s v="P009"/>
    <s v="Monitor"/>
    <x v="0"/>
    <n v="2"/>
    <n v="249.99"/>
    <x v="0"/>
    <x v="1"/>
    <x v="2"/>
    <n v="44572"/>
    <n v="499.98"/>
    <x v="4"/>
  </r>
  <r>
    <s v="TRX0058"/>
    <n v="45532"/>
    <s v="CUST047"/>
    <x v="38"/>
    <s v="P002"/>
    <s v="Smartphone"/>
    <x v="0"/>
    <n v="1"/>
    <n v="699.99"/>
    <x v="0"/>
    <x v="0"/>
    <x v="1"/>
    <n v="44497"/>
    <n v="699.99"/>
    <x v="4"/>
  </r>
  <r>
    <s v="TRX0170"/>
    <n v="45532"/>
    <s v="CUST034"/>
    <x v="41"/>
    <s v="P003"/>
    <s v="Headphones"/>
    <x v="0"/>
    <n v="3"/>
    <n v="149.99"/>
    <x v="0"/>
    <x v="3"/>
    <x v="1"/>
    <n v="45212"/>
    <n v="449.97"/>
    <x v="4"/>
  </r>
  <r>
    <s v="TRX0248"/>
    <n v="45534"/>
    <s v="CUST032"/>
    <x v="42"/>
    <s v="P002"/>
    <s v="Smartphone"/>
    <x v="0"/>
    <n v="2"/>
    <n v="699.99"/>
    <x v="1"/>
    <x v="2"/>
    <x v="1"/>
    <n v="44421"/>
    <n v="1399.98"/>
    <x v="4"/>
  </r>
  <r>
    <s v="TRX0099"/>
    <n v="45537"/>
    <s v="CUST034"/>
    <x v="41"/>
    <s v="P009"/>
    <s v="Monitor"/>
    <x v="0"/>
    <n v="1"/>
    <n v="249.99"/>
    <x v="1"/>
    <x v="3"/>
    <x v="1"/>
    <n v="44685"/>
    <n v="249.99"/>
    <x v="5"/>
  </r>
  <r>
    <s v="TRX0074"/>
    <n v="45537"/>
    <s v="CUST023"/>
    <x v="0"/>
    <s v="P009"/>
    <s v="Monitor"/>
    <x v="0"/>
    <n v="1"/>
    <n v="249.99"/>
    <x v="3"/>
    <x v="2"/>
    <x v="1"/>
    <n v="45332"/>
    <n v="249.99"/>
    <x v="5"/>
  </r>
  <r>
    <s v="TRX0225"/>
    <n v="45538"/>
    <s v="CUST039"/>
    <x v="40"/>
    <s v="P002"/>
    <s v="Smartphone"/>
    <x v="0"/>
    <n v="2"/>
    <n v="699.99"/>
    <x v="3"/>
    <x v="0"/>
    <x v="1"/>
    <n v="44870"/>
    <n v="1399.98"/>
    <x v="5"/>
  </r>
  <r>
    <s v="TRX0100"/>
    <n v="45541"/>
    <s v="CUST031"/>
    <x v="26"/>
    <s v="P005"/>
    <s v="Blender"/>
    <x v="1"/>
    <n v="3"/>
    <n v="59.99"/>
    <x v="1"/>
    <x v="0"/>
    <x v="1"/>
    <n v="44717"/>
    <n v="179.97"/>
    <x v="5"/>
  </r>
  <r>
    <s v="TRX0142"/>
    <n v="45544"/>
    <s v="CUST002"/>
    <x v="25"/>
    <s v="P005"/>
    <s v="Blender"/>
    <x v="1"/>
    <n v="3"/>
    <n v="59.99"/>
    <x v="2"/>
    <x v="4"/>
    <x v="2"/>
    <n v="44748"/>
    <n v="179.97"/>
    <x v="5"/>
  </r>
  <r>
    <s v="TRX0112"/>
    <n v="45544"/>
    <s v="CUST008"/>
    <x v="27"/>
    <s v="P004"/>
    <s v="Coffee Maker"/>
    <x v="1"/>
    <n v="4"/>
    <n v="79.989999999999995"/>
    <x v="0"/>
    <x v="2"/>
    <x v="0"/>
    <n v="44530"/>
    <n v="319.95999999999998"/>
    <x v="5"/>
  </r>
  <r>
    <s v="TRX0161"/>
    <n v="45545"/>
    <s v="CUST017"/>
    <x v="6"/>
    <s v="P004"/>
    <s v="Coffee Maker"/>
    <x v="1"/>
    <n v="1"/>
    <n v="79.989999999999995"/>
    <x v="0"/>
    <x v="3"/>
    <x v="0"/>
    <n v="44693"/>
    <n v="79.989999999999995"/>
    <x v="5"/>
  </r>
  <r>
    <s v="TRX0108"/>
    <n v="45547"/>
    <s v="CUST024"/>
    <x v="5"/>
    <s v="P007"/>
    <s v="Desk"/>
    <x v="2"/>
    <n v="3"/>
    <n v="299.99"/>
    <x v="1"/>
    <x v="0"/>
    <x v="1"/>
    <n v="44494"/>
    <n v="899.97"/>
    <x v="5"/>
  </r>
  <r>
    <s v="TRX0211"/>
    <n v="45548"/>
    <s v="CUST046"/>
    <x v="3"/>
    <s v="P010"/>
    <s v="Keyboard"/>
    <x v="0"/>
    <n v="2"/>
    <n v="89.99"/>
    <x v="1"/>
    <x v="1"/>
    <x v="1"/>
    <n v="44641"/>
    <n v="179.98"/>
    <x v="5"/>
  </r>
  <r>
    <s v="TRX0005"/>
    <n v="45550"/>
    <s v="CUST042"/>
    <x v="43"/>
    <s v="P003"/>
    <s v="Headphones"/>
    <x v="0"/>
    <n v="4"/>
    <n v="149.99"/>
    <x v="0"/>
    <x v="2"/>
    <x v="0"/>
    <n v="44909"/>
    <n v="599.96"/>
    <x v="5"/>
  </r>
  <r>
    <s v="TRX0195"/>
    <n v="45551"/>
    <s v="CUST026"/>
    <x v="8"/>
    <s v="P009"/>
    <s v="Monitor"/>
    <x v="0"/>
    <n v="2"/>
    <n v="249.99"/>
    <x v="2"/>
    <x v="1"/>
    <x v="0"/>
    <n v="44993"/>
    <n v="499.98"/>
    <x v="5"/>
  </r>
  <r>
    <s v="TRX0054"/>
    <n v="45551"/>
    <s v="CUST004"/>
    <x v="31"/>
    <s v="P006"/>
    <s v="Office Chair"/>
    <x v="2"/>
    <n v="4"/>
    <n v="199.99"/>
    <x v="3"/>
    <x v="4"/>
    <x v="0"/>
    <n v="44458"/>
    <n v="799.96"/>
    <x v="5"/>
  </r>
  <r>
    <s v="TRX0077"/>
    <n v="45554"/>
    <s v="CUST019"/>
    <x v="29"/>
    <s v="P010"/>
    <s v="Keyboard"/>
    <x v="0"/>
    <n v="5"/>
    <n v="89.99"/>
    <x v="1"/>
    <x v="4"/>
    <x v="1"/>
    <n v="44446"/>
    <n v="449.95"/>
    <x v="5"/>
  </r>
  <r>
    <s v="TRX0111"/>
    <n v="45554"/>
    <s v="CUST011"/>
    <x v="44"/>
    <s v="P003"/>
    <s v="Headphones"/>
    <x v="0"/>
    <n v="1"/>
    <n v="149.99"/>
    <x v="2"/>
    <x v="4"/>
    <x v="2"/>
    <n v="44482"/>
    <n v="149.99"/>
    <x v="5"/>
  </r>
  <r>
    <s v="TRX0123"/>
    <n v="45554"/>
    <s v="CUST041"/>
    <x v="10"/>
    <s v="P002"/>
    <s v="Smartphone"/>
    <x v="0"/>
    <n v="4"/>
    <n v="699.99"/>
    <x v="2"/>
    <x v="1"/>
    <x v="0"/>
    <n v="44618"/>
    <n v="2799.96"/>
    <x v="5"/>
  </r>
  <r>
    <s v="TRX0177"/>
    <n v="45559"/>
    <s v="CUST032"/>
    <x v="42"/>
    <s v="P001"/>
    <s v="Laptop"/>
    <x v="0"/>
    <n v="3"/>
    <n v="899.99"/>
    <x v="1"/>
    <x v="2"/>
    <x v="2"/>
    <n v="45157"/>
    <n v="2699.97"/>
    <x v="5"/>
  </r>
  <r>
    <s v="TRX0119"/>
    <n v="45560"/>
    <s v="CUST014"/>
    <x v="21"/>
    <s v="P008"/>
    <s v="Bookshelf"/>
    <x v="2"/>
    <n v="3"/>
    <n v="149.99"/>
    <x v="2"/>
    <x v="4"/>
    <x v="0"/>
    <n v="44886"/>
    <n v="449.97"/>
    <x v="5"/>
  </r>
  <r>
    <s v="TRX0181"/>
    <n v="45563"/>
    <s v="CUST012"/>
    <x v="18"/>
    <s v="P007"/>
    <s v="Desk"/>
    <x v="2"/>
    <n v="2"/>
    <n v="299.99"/>
    <x v="3"/>
    <x v="0"/>
    <x v="0"/>
    <n v="44569"/>
    <n v="599.98"/>
    <x v="5"/>
  </r>
  <r>
    <s v="TRX0129"/>
    <n v="45564"/>
    <s v="CUST015"/>
    <x v="45"/>
    <s v="P006"/>
    <s v="Office Chair"/>
    <x v="2"/>
    <n v="1"/>
    <n v="199.99"/>
    <x v="3"/>
    <x v="4"/>
    <x v="2"/>
    <n v="44953"/>
    <n v="199.99"/>
    <x v="5"/>
  </r>
  <r>
    <s v="TRX0174"/>
    <n v="45566"/>
    <s v="CUST003"/>
    <x v="4"/>
    <s v="P007"/>
    <s v="Desk"/>
    <x v="2"/>
    <n v="4"/>
    <n v="299.99"/>
    <x v="0"/>
    <x v="0"/>
    <x v="1"/>
    <n v="44460"/>
    <n v="1199.96"/>
    <x v="6"/>
  </r>
  <r>
    <s v="TRX0146"/>
    <n v="45572"/>
    <s v="CUST010"/>
    <x v="15"/>
    <s v="P005"/>
    <s v="Blender"/>
    <x v="1"/>
    <n v="2"/>
    <n v="59.99"/>
    <x v="1"/>
    <x v="0"/>
    <x v="0"/>
    <n v="44579"/>
    <n v="119.98"/>
    <x v="6"/>
  </r>
  <r>
    <s v="TRX0203"/>
    <n v="45572"/>
    <s v="CUST032"/>
    <x v="42"/>
    <s v="P003"/>
    <s v="Headphones"/>
    <x v="0"/>
    <n v="4"/>
    <n v="149.99"/>
    <x v="1"/>
    <x v="2"/>
    <x v="1"/>
    <n v="45076"/>
    <n v="599.96"/>
    <x v="6"/>
  </r>
  <r>
    <s v="TRX0055"/>
    <n v="45573"/>
    <s v="CUST016"/>
    <x v="39"/>
    <s v="P002"/>
    <s v="Smartphone"/>
    <x v="0"/>
    <n v="2"/>
    <n v="699.99"/>
    <x v="3"/>
    <x v="4"/>
    <x v="1"/>
    <n v="45274"/>
    <n v="1399.98"/>
    <x v="6"/>
  </r>
  <r>
    <s v="TRX0218"/>
    <n v="45573"/>
    <s v="CUST034"/>
    <x v="41"/>
    <s v="P008"/>
    <s v="Bookshelf"/>
    <x v="2"/>
    <n v="3"/>
    <n v="149.99"/>
    <x v="1"/>
    <x v="1"/>
    <x v="2"/>
    <n v="44940"/>
    <n v="449.97"/>
    <x v="6"/>
  </r>
  <r>
    <s v="TRX0085"/>
    <n v="45576"/>
    <s v="CUST019"/>
    <x v="29"/>
    <s v="P007"/>
    <s v="Desk"/>
    <x v="2"/>
    <n v="3"/>
    <n v="299.99"/>
    <x v="1"/>
    <x v="0"/>
    <x v="2"/>
    <n v="45174"/>
    <n v="899.97"/>
    <x v="6"/>
  </r>
  <r>
    <s v="TRX0158"/>
    <n v="45579"/>
    <s v="CUST027"/>
    <x v="13"/>
    <s v="P001"/>
    <s v="Laptop"/>
    <x v="0"/>
    <n v="3"/>
    <n v="899.99"/>
    <x v="2"/>
    <x v="3"/>
    <x v="0"/>
    <n v="45215"/>
    <n v="2699.97"/>
    <x v="6"/>
  </r>
  <r>
    <s v="TRX0173"/>
    <n v="45581"/>
    <s v="CUST018"/>
    <x v="17"/>
    <s v="P002"/>
    <s v="Smartphone"/>
    <x v="0"/>
    <n v="5"/>
    <n v="699.99"/>
    <x v="0"/>
    <x v="4"/>
    <x v="2"/>
    <n v="45008"/>
    <n v="3499.95"/>
    <x v="6"/>
  </r>
  <r>
    <s v="TRX0034"/>
    <n v="45581"/>
    <s v="CUST049"/>
    <x v="34"/>
    <s v="P002"/>
    <s v="Smartphone"/>
    <x v="0"/>
    <n v="4"/>
    <n v="699.99"/>
    <x v="1"/>
    <x v="0"/>
    <x v="0"/>
    <n v="45385"/>
    <n v="2799.96"/>
    <x v="6"/>
  </r>
  <r>
    <s v="TRX0189"/>
    <n v="45581"/>
    <s v="CUST040"/>
    <x v="30"/>
    <s v="P001"/>
    <s v="Laptop"/>
    <x v="0"/>
    <n v="1"/>
    <n v="899.99"/>
    <x v="1"/>
    <x v="4"/>
    <x v="2"/>
    <n v="45369"/>
    <n v="899.99"/>
    <x v="6"/>
  </r>
  <r>
    <s v="TRX0190"/>
    <n v="45583"/>
    <s v="CUST039"/>
    <x v="40"/>
    <s v="P003"/>
    <s v="Headphones"/>
    <x v="0"/>
    <n v="2"/>
    <n v="149.99"/>
    <x v="1"/>
    <x v="3"/>
    <x v="0"/>
    <n v="44916"/>
    <n v="299.98"/>
    <x v="6"/>
  </r>
  <r>
    <s v="TRX0079"/>
    <n v="45586"/>
    <s v="CUST039"/>
    <x v="40"/>
    <s v="P010"/>
    <s v="Keyboard"/>
    <x v="0"/>
    <n v="3"/>
    <n v="89.99"/>
    <x v="2"/>
    <x v="0"/>
    <x v="0"/>
    <n v="44551"/>
    <n v="269.97000000000003"/>
    <x v="6"/>
  </r>
  <r>
    <s v="TRX0095"/>
    <n v="45588"/>
    <s v="CUST046"/>
    <x v="3"/>
    <s v="P003"/>
    <s v="Headphones"/>
    <x v="0"/>
    <n v="2"/>
    <n v="149.99"/>
    <x v="2"/>
    <x v="0"/>
    <x v="0"/>
    <n v="44473"/>
    <n v="299.98"/>
    <x v="6"/>
  </r>
  <r>
    <s v="TRX0009"/>
    <n v="45588"/>
    <s v="CUST004"/>
    <x v="31"/>
    <s v="P002"/>
    <s v="Smartphone"/>
    <x v="0"/>
    <n v="2"/>
    <n v="699.99"/>
    <x v="0"/>
    <x v="0"/>
    <x v="0"/>
    <n v="44992"/>
    <n v="1399.98"/>
    <x v="6"/>
  </r>
  <r>
    <s v="TRX0167"/>
    <n v="45589"/>
    <s v="CUST028"/>
    <x v="32"/>
    <s v="P002"/>
    <s v="Smartphone"/>
    <x v="0"/>
    <n v="5"/>
    <n v="699.99"/>
    <x v="0"/>
    <x v="2"/>
    <x v="1"/>
    <n v="44635"/>
    <n v="3499.95"/>
    <x v="6"/>
  </r>
  <r>
    <s v="TRX0153"/>
    <n v="45592"/>
    <s v="CUST049"/>
    <x v="34"/>
    <s v="P010"/>
    <s v="Keyboard"/>
    <x v="0"/>
    <n v="3"/>
    <n v="89.99"/>
    <x v="1"/>
    <x v="2"/>
    <x v="2"/>
    <n v="44615"/>
    <n v="269.97000000000003"/>
    <x v="6"/>
  </r>
  <r>
    <s v="TRX0057"/>
    <n v="45597"/>
    <s v="CUST023"/>
    <x v="0"/>
    <s v="P009"/>
    <s v="Monitor"/>
    <x v="0"/>
    <n v="5"/>
    <n v="249.99"/>
    <x v="1"/>
    <x v="1"/>
    <x v="2"/>
    <n v="44881"/>
    <n v="1249.95"/>
    <x v="7"/>
  </r>
  <r>
    <s v="TRX0017"/>
    <n v="45600"/>
    <s v="CUST026"/>
    <x v="8"/>
    <s v="P007"/>
    <s v="Desk"/>
    <x v="2"/>
    <n v="3"/>
    <n v="299.99"/>
    <x v="1"/>
    <x v="1"/>
    <x v="2"/>
    <n v="44502"/>
    <n v="899.97"/>
    <x v="7"/>
  </r>
  <r>
    <s v="TRX0060"/>
    <n v="45603"/>
    <s v="CUST012"/>
    <x v="18"/>
    <s v="P010"/>
    <s v="Keyboard"/>
    <x v="0"/>
    <n v="3"/>
    <n v="89.99"/>
    <x v="1"/>
    <x v="2"/>
    <x v="1"/>
    <n v="44420"/>
    <n v="269.97000000000003"/>
    <x v="7"/>
  </r>
  <r>
    <s v="TRX0109"/>
    <n v="45604"/>
    <s v="CUST010"/>
    <x v="15"/>
    <s v="P008"/>
    <s v="Bookshelf"/>
    <x v="2"/>
    <n v="2"/>
    <n v="149.99"/>
    <x v="1"/>
    <x v="3"/>
    <x v="1"/>
    <n v="44848"/>
    <n v="299.98"/>
    <x v="7"/>
  </r>
  <r>
    <s v="TRX0090"/>
    <n v="45605"/>
    <s v="CUST020"/>
    <x v="36"/>
    <s v="P009"/>
    <s v="Monitor"/>
    <x v="0"/>
    <n v="1"/>
    <n v="249.99"/>
    <x v="1"/>
    <x v="2"/>
    <x v="1"/>
    <n v="44828"/>
    <n v="249.99"/>
    <x v="7"/>
  </r>
  <r>
    <s v="TRX0035"/>
    <n v="45607"/>
    <s v="CUST041"/>
    <x v="10"/>
    <s v="P003"/>
    <s v="Headphones"/>
    <x v="0"/>
    <n v="3"/>
    <n v="149.99"/>
    <x v="0"/>
    <x v="2"/>
    <x v="0"/>
    <n v="44769"/>
    <n v="449.97"/>
    <x v="7"/>
  </r>
  <r>
    <s v="TRX0172"/>
    <n v="45607"/>
    <s v="CUST023"/>
    <x v="0"/>
    <s v="P005"/>
    <s v="Blender"/>
    <x v="1"/>
    <n v="5"/>
    <n v="59.99"/>
    <x v="2"/>
    <x v="3"/>
    <x v="1"/>
    <n v="44694"/>
    <n v="299.95"/>
    <x v="7"/>
  </r>
  <r>
    <s v="TRX0076"/>
    <n v="45607"/>
    <s v="CUST012"/>
    <x v="18"/>
    <s v="P009"/>
    <s v="Monitor"/>
    <x v="0"/>
    <n v="4"/>
    <n v="249.99"/>
    <x v="1"/>
    <x v="3"/>
    <x v="2"/>
    <n v="44659"/>
    <n v="999.96"/>
    <x v="7"/>
  </r>
  <r>
    <s v="TRX0210"/>
    <n v="45608"/>
    <s v="CUST004"/>
    <x v="31"/>
    <s v="P008"/>
    <s v="Bookshelf"/>
    <x v="2"/>
    <n v="5"/>
    <n v="149.99"/>
    <x v="2"/>
    <x v="0"/>
    <x v="0"/>
    <n v="44901"/>
    <n v="749.95"/>
    <x v="7"/>
  </r>
  <r>
    <s v="TRX0149"/>
    <n v="45608"/>
    <s v="CUST027"/>
    <x v="13"/>
    <s v="P005"/>
    <s v="Blender"/>
    <x v="1"/>
    <n v="3"/>
    <n v="59.99"/>
    <x v="3"/>
    <x v="1"/>
    <x v="2"/>
    <n v="45260"/>
    <n v="179.97"/>
    <x v="7"/>
  </r>
  <r>
    <s v="TRX0073"/>
    <n v="45613"/>
    <s v="CUST032"/>
    <x v="42"/>
    <s v="P008"/>
    <s v="Bookshelf"/>
    <x v="2"/>
    <n v="5"/>
    <n v="149.99"/>
    <x v="0"/>
    <x v="2"/>
    <x v="0"/>
    <n v="44869"/>
    <n v="749.95"/>
    <x v="7"/>
  </r>
  <r>
    <s v="TRX0033"/>
    <n v="45613"/>
    <s v="CUST025"/>
    <x v="14"/>
    <s v="P002"/>
    <s v="Smartphone"/>
    <x v="0"/>
    <n v="2"/>
    <n v="699.99"/>
    <x v="2"/>
    <x v="3"/>
    <x v="2"/>
    <n v="44770"/>
    <n v="1399.98"/>
    <x v="7"/>
  </r>
  <r>
    <s v="TRX0160"/>
    <n v="45617"/>
    <s v="CUST029"/>
    <x v="23"/>
    <s v="P006"/>
    <s v="Office Chair"/>
    <x v="2"/>
    <n v="4"/>
    <n v="199.99"/>
    <x v="3"/>
    <x v="0"/>
    <x v="1"/>
    <n v="44427"/>
    <n v="799.96"/>
    <x v="7"/>
  </r>
  <r>
    <s v="TRX0145"/>
    <n v="45619"/>
    <s v="CUST033"/>
    <x v="37"/>
    <s v="P005"/>
    <s v="Blender"/>
    <x v="1"/>
    <n v="1"/>
    <n v="59.99"/>
    <x v="3"/>
    <x v="3"/>
    <x v="2"/>
    <n v="44560"/>
    <n v="59.99"/>
    <x v="7"/>
  </r>
  <r>
    <s v="TRX0148"/>
    <n v="45619"/>
    <s v="CUST004"/>
    <x v="31"/>
    <s v="P002"/>
    <s v="Smartphone"/>
    <x v="0"/>
    <n v="3"/>
    <n v="699.99"/>
    <x v="2"/>
    <x v="3"/>
    <x v="2"/>
    <n v="44583"/>
    <n v="2099.9699999999998"/>
    <x v="7"/>
  </r>
  <r>
    <s v="TRX0012"/>
    <n v="45622"/>
    <s v="CUST045"/>
    <x v="46"/>
    <s v="P009"/>
    <s v="Monitor"/>
    <x v="0"/>
    <n v="5"/>
    <n v="249.99"/>
    <x v="1"/>
    <x v="2"/>
    <x v="0"/>
    <n v="44873"/>
    <n v="1249.95"/>
    <x v="7"/>
  </r>
  <r>
    <s v="TRX0206"/>
    <n v="45623"/>
    <s v="CUST014"/>
    <x v="21"/>
    <s v="P008"/>
    <s v="Bookshelf"/>
    <x v="2"/>
    <n v="2"/>
    <n v="149.99"/>
    <x v="0"/>
    <x v="1"/>
    <x v="2"/>
    <n v="45101"/>
    <n v="299.98"/>
    <x v="7"/>
  </r>
  <r>
    <s v="TRX0045"/>
    <n v="45627"/>
    <s v="CUST021"/>
    <x v="2"/>
    <s v="P007"/>
    <s v="Desk"/>
    <x v="2"/>
    <n v="3"/>
    <n v="299.99"/>
    <x v="0"/>
    <x v="1"/>
    <x v="1"/>
    <n v="44659"/>
    <n v="899.97"/>
    <x v="8"/>
  </r>
  <r>
    <s v="TRX0094"/>
    <n v="45627"/>
    <s v="CUST017"/>
    <x v="6"/>
    <s v="P009"/>
    <s v="Monitor"/>
    <x v="0"/>
    <n v="5"/>
    <n v="249.99"/>
    <x v="0"/>
    <x v="0"/>
    <x v="1"/>
    <n v="44485"/>
    <n v="1249.95"/>
    <x v="8"/>
  </r>
  <r>
    <s v="TRX0133"/>
    <n v="45627"/>
    <s v="CUST013"/>
    <x v="1"/>
    <s v="P003"/>
    <s v="Headphones"/>
    <x v="0"/>
    <n v="2"/>
    <n v="149.99"/>
    <x v="0"/>
    <x v="1"/>
    <x v="1"/>
    <n v="44475"/>
    <n v="299.98"/>
    <x v="8"/>
  </r>
  <r>
    <s v="TRX0201"/>
    <n v="45627"/>
    <s v="CUST025"/>
    <x v="14"/>
    <s v="P002"/>
    <s v="Smartphone"/>
    <x v="0"/>
    <n v="5"/>
    <n v="699.99"/>
    <x v="3"/>
    <x v="3"/>
    <x v="2"/>
    <n v="44944"/>
    <n v="3499.95"/>
    <x v="8"/>
  </r>
  <r>
    <s v="TRX0137"/>
    <n v="45629"/>
    <s v="CUST011"/>
    <x v="44"/>
    <s v="P009"/>
    <s v="Monitor"/>
    <x v="0"/>
    <n v="4"/>
    <n v="249.99"/>
    <x v="2"/>
    <x v="4"/>
    <x v="1"/>
    <n v="45098"/>
    <n v="999.96"/>
    <x v="8"/>
  </r>
  <r>
    <s v="TRX0066"/>
    <n v="45630"/>
    <s v="CUST024"/>
    <x v="5"/>
    <s v="P002"/>
    <s v="Smartphone"/>
    <x v="0"/>
    <n v="4"/>
    <n v="699.99"/>
    <x v="1"/>
    <x v="2"/>
    <x v="1"/>
    <n v="44703"/>
    <n v="2799.96"/>
    <x v="8"/>
  </r>
  <r>
    <s v="TRX0180"/>
    <n v="45635"/>
    <s v="CUST036"/>
    <x v="20"/>
    <s v="P009"/>
    <s v="Monitor"/>
    <x v="0"/>
    <n v="2"/>
    <n v="249.99"/>
    <x v="1"/>
    <x v="0"/>
    <x v="1"/>
    <n v="44396"/>
    <n v="499.98"/>
    <x v="8"/>
  </r>
  <r>
    <s v="TRX0082"/>
    <n v="45635"/>
    <s v="CUST005"/>
    <x v="47"/>
    <s v="P005"/>
    <s v="Blender"/>
    <x v="1"/>
    <n v="3"/>
    <n v="59.99"/>
    <x v="0"/>
    <x v="0"/>
    <x v="1"/>
    <n v="45052"/>
    <n v="179.97"/>
    <x v="8"/>
  </r>
  <r>
    <s v="TRX0036"/>
    <n v="45635"/>
    <s v="CUST008"/>
    <x v="27"/>
    <s v="P004"/>
    <s v="Coffee Maker"/>
    <x v="1"/>
    <n v="4"/>
    <n v="79.989999999999995"/>
    <x v="3"/>
    <x v="4"/>
    <x v="2"/>
    <n v="44921"/>
    <n v="319.95999999999998"/>
    <x v="8"/>
  </r>
  <r>
    <s v="TRX0198"/>
    <n v="45636"/>
    <s v="CUST030"/>
    <x v="22"/>
    <s v="P004"/>
    <s v="Coffee Maker"/>
    <x v="1"/>
    <n v="3"/>
    <n v="79.989999999999995"/>
    <x v="3"/>
    <x v="4"/>
    <x v="2"/>
    <n v="44779"/>
    <n v="239.97"/>
    <x v="8"/>
  </r>
  <r>
    <s v="TRX0032"/>
    <n v="45638"/>
    <s v="CUST041"/>
    <x v="10"/>
    <s v="P001"/>
    <s v="Laptop"/>
    <x v="0"/>
    <n v="2"/>
    <n v="899.99"/>
    <x v="0"/>
    <x v="2"/>
    <x v="0"/>
    <n v="44406"/>
    <n v="1799.98"/>
    <x v="8"/>
  </r>
  <r>
    <s v="TRX0081"/>
    <n v="45641"/>
    <s v="CUST007"/>
    <x v="35"/>
    <s v="P008"/>
    <s v="Bookshelf"/>
    <x v="2"/>
    <n v="1"/>
    <n v="149.99"/>
    <x v="3"/>
    <x v="4"/>
    <x v="2"/>
    <n v="45200"/>
    <n v="149.99"/>
    <x v="8"/>
  </r>
  <r>
    <s v="TRX0224"/>
    <n v="45641"/>
    <s v="CUST031"/>
    <x v="26"/>
    <s v="P007"/>
    <s v="Desk"/>
    <x v="2"/>
    <n v="2"/>
    <n v="299.99"/>
    <x v="0"/>
    <x v="4"/>
    <x v="1"/>
    <n v="44724"/>
    <n v="599.98"/>
    <x v="8"/>
  </r>
  <r>
    <s v="TRX0028"/>
    <n v="45644"/>
    <s v="CUST002"/>
    <x v="25"/>
    <s v="P005"/>
    <s v="Blender"/>
    <x v="1"/>
    <n v="2"/>
    <n v="59.99"/>
    <x v="0"/>
    <x v="3"/>
    <x v="0"/>
    <n v="45191"/>
    <n v="119.98"/>
    <x v="8"/>
  </r>
  <r>
    <s v="TRX0183"/>
    <n v="45645"/>
    <s v="CUST007"/>
    <x v="35"/>
    <s v="P010"/>
    <s v="Keyboard"/>
    <x v="0"/>
    <n v="1"/>
    <n v="89.99"/>
    <x v="3"/>
    <x v="0"/>
    <x v="2"/>
    <n v="44760"/>
    <n v="89.99"/>
    <x v="8"/>
  </r>
  <r>
    <s v="TRX0163"/>
    <n v="45645"/>
    <s v="CUST019"/>
    <x v="29"/>
    <s v="P001"/>
    <s v="Laptop"/>
    <x v="0"/>
    <n v="5"/>
    <n v="899.99"/>
    <x v="3"/>
    <x v="4"/>
    <x v="2"/>
    <n v="44625"/>
    <n v="4499.95"/>
    <x v="8"/>
  </r>
  <r>
    <s v="TRX0046"/>
    <n v="45646"/>
    <s v="CUST003"/>
    <x v="4"/>
    <s v="P008"/>
    <s v="Bookshelf"/>
    <x v="2"/>
    <n v="2"/>
    <n v="149.99"/>
    <x v="0"/>
    <x v="1"/>
    <x v="0"/>
    <n v="45239"/>
    <n v="299.98"/>
    <x v="8"/>
  </r>
  <r>
    <s v="TRX0164"/>
    <n v="45648"/>
    <s v="CUST014"/>
    <x v="21"/>
    <s v="P003"/>
    <s v="Headphones"/>
    <x v="0"/>
    <n v="2"/>
    <n v="149.99"/>
    <x v="3"/>
    <x v="3"/>
    <x v="1"/>
    <n v="45280"/>
    <n v="299.98"/>
    <x v="8"/>
  </r>
  <r>
    <s v="TRX0008"/>
    <n v="45648"/>
    <s v="CUST007"/>
    <x v="35"/>
    <s v="P008"/>
    <s v="Bookshelf"/>
    <x v="2"/>
    <n v="3"/>
    <n v="149.99"/>
    <x v="3"/>
    <x v="2"/>
    <x v="2"/>
    <n v="44522"/>
    <n v="449.97"/>
    <x v="8"/>
  </r>
  <r>
    <s v="TRX0171"/>
    <n v="45649"/>
    <s v="CUST021"/>
    <x v="2"/>
    <s v="P007"/>
    <s v="Desk"/>
    <x v="2"/>
    <n v="2"/>
    <n v="299.99"/>
    <x v="2"/>
    <x v="1"/>
    <x v="0"/>
    <n v="44721"/>
    <n v="599.98"/>
    <x v="8"/>
  </r>
  <r>
    <s v="TRX0143"/>
    <n v="45654"/>
    <s v="CUST003"/>
    <x v="4"/>
    <s v="P007"/>
    <s v="Desk"/>
    <x v="2"/>
    <n v="2"/>
    <n v="299.99"/>
    <x v="0"/>
    <x v="3"/>
    <x v="0"/>
    <n v="44771"/>
    <n v="599.98"/>
    <x v="8"/>
  </r>
  <r>
    <s v="TRX0165"/>
    <n v="45654"/>
    <s v="CUST030"/>
    <x v="22"/>
    <s v="P006"/>
    <s v="Office Chair"/>
    <x v="2"/>
    <n v="4"/>
    <n v="199.99"/>
    <x v="1"/>
    <x v="0"/>
    <x v="0"/>
    <n v="44523"/>
    <n v="799.96"/>
    <x v="8"/>
  </r>
  <r>
    <s v="TRX0156"/>
    <n v="45655"/>
    <s v="CUST009"/>
    <x v="7"/>
    <s v="P010"/>
    <s v="Keyboard"/>
    <x v="0"/>
    <n v="1"/>
    <n v="89.99"/>
    <x v="1"/>
    <x v="1"/>
    <x v="1"/>
    <n v="44591"/>
    <n v="89.99"/>
    <x v="8"/>
  </r>
  <r>
    <s v="TRX0147"/>
    <n v="45655"/>
    <s v="CUST036"/>
    <x v="20"/>
    <s v="P008"/>
    <s v="Bookshelf"/>
    <x v="2"/>
    <n v="5"/>
    <n v="149.99"/>
    <x v="0"/>
    <x v="0"/>
    <x v="1"/>
    <n v="45347"/>
    <n v="749.95"/>
    <x v="8"/>
  </r>
  <r>
    <s v="TRX0207"/>
    <n v="45657"/>
    <s v="CUST025"/>
    <x v="14"/>
    <s v="P001"/>
    <s v="Laptop"/>
    <x v="0"/>
    <n v="1"/>
    <n v="899.99"/>
    <x v="2"/>
    <x v="2"/>
    <x v="1"/>
    <n v="45050"/>
    <n v="899.99"/>
    <x v="8"/>
  </r>
  <r>
    <s v="TRX0056"/>
    <n v="45660"/>
    <s v="CUST019"/>
    <x v="29"/>
    <s v="P010"/>
    <s v="Keyboard"/>
    <x v="0"/>
    <n v="2"/>
    <n v="89.99"/>
    <x v="1"/>
    <x v="1"/>
    <x v="1"/>
    <n v="44564"/>
    <n v="179.98"/>
    <x v="9"/>
  </r>
  <r>
    <s v="TRX0026"/>
    <n v="45661"/>
    <s v="CUST037"/>
    <x v="48"/>
    <s v="P001"/>
    <s v="Laptop"/>
    <x v="0"/>
    <n v="1"/>
    <n v="899.99"/>
    <x v="2"/>
    <x v="2"/>
    <x v="2"/>
    <n v="44752"/>
    <n v="899.99"/>
    <x v="9"/>
  </r>
  <r>
    <s v="TRX0237"/>
    <n v="45663"/>
    <s v="CUST006"/>
    <x v="24"/>
    <s v="P003"/>
    <s v="Headphones"/>
    <x v="0"/>
    <n v="5"/>
    <n v="149.99"/>
    <x v="2"/>
    <x v="4"/>
    <x v="1"/>
    <n v="44824"/>
    <n v="749.95"/>
    <x v="9"/>
  </r>
  <r>
    <s v="TRX0091"/>
    <n v="45663"/>
    <s v="CUST003"/>
    <x v="4"/>
    <s v="P007"/>
    <s v="Desk"/>
    <x v="2"/>
    <n v="3"/>
    <n v="299.99"/>
    <x v="0"/>
    <x v="1"/>
    <x v="2"/>
    <n v="44422"/>
    <n v="899.97"/>
    <x v="9"/>
  </r>
  <r>
    <s v="TRX0125"/>
    <n v="45666"/>
    <s v="CUST026"/>
    <x v="8"/>
    <s v="P002"/>
    <s v="Smartphone"/>
    <x v="0"/>
    <n v="3"/>
    <n v="699.99"/>
    <x v="1"/>
    <x v="0"/>
    <x v="1"/>
    <n v="45105"/>
    <n v="2099.9699999999998"/>
    <x v="9"/>
  </r>
  <r>
    <s v="TRX0223"/>
    <n v="45667"/>
    <s v="CUST036"/>
    <x v="20"/>
    <s v="P006"/>
    <s v="Office Chair"/>
    <x v="2"/>
    <n v="5"/>
    <n v="199.99"/>
    <x v="2"/>
    <x v="0"/>
    <x v="2"/>
    <n v="44633"/>
    <n v="999.95"/>
    <x v="9"/>
  </r>
  <r>
    <s v="TRX0243"/>
    <n v="45667"/>
    <s v="CUST048"/>
    <x v="16"/>
    <s v="P009"/>
    <s v="Monitor"/>
    <x v="0"/>
    <n v="5"/>
    <n v="249.99"/>
    <x v="1"/>
    <x v="1"/>
    <x v="0"/>
    <n v="45330"/>
    <n v="1249.95"/>
    <x v="9"/>
  </r>
  <r>
    <s v="TRX0084"/>
    <n v="45668"/>
    <s v="CUST031"/>
    <x v="26"/>
    <s v="P003"/>
    <s v="Headphones"/>
    <x v="0"/>
    <n v="4"/>
    <n v="149.99"/>
    <x v="3"/>
    <x v="4"/>
    <x v="2"/>
    <n v="44536"/>
    <n v="599.96"/>
    <x v="9"/>
  </r>
  <r>
    <s v="TRX0238"/>
    <n v="45668"/>
    <s v="CUST038"/>
    <x v="12"/>
    <s v="P002"/>
    <s v="Smartphone"/>
    <x v="0"/>
    <n v="3"/>
    <n v="699.99"/>
    <x v="0"/>
    <x v="2"/>
    <x v="1"/>
    <n v="44602"/>
    <n v="2099.9699999999998"/>
    <x v="9"/>
  </r>
  <r>
    <s v="TRX0102"/>
    <n v="45670"/>
    <s v="CUST045"/>
    <x v="46"/>
    <s v="P004"/>
    <s v="Coffee Maker"/>
    <x v="1"/>
    <n v="1"/>
    <n v="79.989999999999995"/>
    <x v="1"/>
    <x v="1"/>
    <x v="0"/>
    <n v="45322"/>
    <n v="79.989999999999995"/>
    <x v="9"/>
  </r>
  <r>
    <s v="TRX0022"/>
    <n v="45670"/>
    <s v="CUST025"/>
    <x v="14"/>
    <s v="P007"/>
    <s v="Desk"/>
    <x v="2"/>
    <n v="1"/>
    <n v="299.99"/>
    <x v="1"/>
    <x v="2"/>
    <x v="0"/>
    <n v="44436"/>
    <n v="299.99"/>
    <x v="9"/>
  </r>
  <r>
    <s v="TRX0087"/>
    <n v="45671"/>
    <s v="CUST028"/>
    <x v="32"/>
    <s v="P009"/>
    <s v="Monitor"/>
    <x v="0"/>
    <n v="4"/>
    <n v="249.99"/>
    <x v="1"/>
    <x v="2"/>
    <x v="1"/>
    <n v="44460"/>
    <n v="999.96"/>
    <x v="9"/>
  </r>
  <r>
    <s v="TRX0107"/>
    <n v="45671"/>
    <s v="CUST030"/>
    <x v="22"/>
    <s v="P003"/>
    <s v="Headphones"/>
    <x v="0"/>
    <n v="2"/>
    <n v="149.99"/>
    <x v="0"/>
    <x v="2"/>
    <x v="2"/>
    <n v="44913"/>
    <n v="299.98"/>
    <x v="9"/>
  </r>
  <r>
    <s v="TRX0051"/>
    <n v="45671"/>
    <s v="CUST032"/>
    <x v="42"/>
    <s v="P007"/>
    <s v="Desk"/>
    <x v="2"/>
    <n v="3"/>
    <n v="299.99"/>
    <x v="1"/>
    <x v="1"/>
    <x v="0"/>
    <n v="45204"/>
    <n v="899.97"/>
    <x v="9"/>
  </r>
  <r>
    <s v="TRX0106"/>
    <n v="45673"/>
    <s v="CUST039"/>
    <x v="40"/>
    <s v="P006"/>
    <s v="Office Chair"/>
    <x v="2"/>
    <n v="4"/>
    <n v="199.99"/>
    <x v="3"/>
    <x v="1"/>
    <x v="2"/>
    <n v="44544"/>
    <n v="799.96"/>
    <x v="9"/>
  </r>
  <r>
    <s v="TRX0059"/>
    <n v="45673"/>
    <s v="CUST016"/>
    <x v="39"/>
    <s v="P007"/>
    <s v="Desk"/>
    <x v="2"/>
    <n v="5"/>
    <n v="299.99"/>
    <x v="3"/>
    <x v="0"/>
    <x v="0"/>
    <n v="44431"/>
    <n v="1499.95"/>
    <x v="9"/>
  </r>
  <r>
    <s v="TRX0072"/>
    <n v="45673"/>
    <s v="CUST009"/>
    <x v="7"/>
    <s v="P008"/>
    <s v="Bookshelf"/>
    <x v="2"/>
    <n v="3"/>
    <n v="149.99"/>
    <x v="1"/>
    <x v="4"/>
    <x v="2"/>
    <n v="44395"/>
    <n v="449.97"/>
    <x v="9"/>
  </r>
  <r>
    <s v="TRX0110"/>
    <n v="45676"/>
    <s v="CUST006"/>
    <x v="24"/>
    <s v="P005"/>
    <s v="Blender"/>
    <x v="1"/>
    <n v="5"/>
    <n v="59.99"/>
    <x v="3"/>
    <x v="4"/>
    <x v="0"/>
    <n v="44642"/>
    <n v="299.95"/>
    <x v="9"/>
  </r>
  <r>
    <s v="TRX0126"/>
    <n v="45682"/>
    <s v="CUST022"/>
    <x v="9"/>
    <s v="P005"/>
    <s v="Blender"/>
    <x v="1"/>
    <n v="4"/>
    <n v="59.99"/>
    <x v="3"/>
    <x v="4"/>
    <x v="2"/>
    <n v="44564"/>
    <n v="239.96"/>
    <x v="9"/>
  </r>
  <r>
    <s v="TRX0159"/>
    <n v="45683"/>
    <s v="CUST024"/>
    <x v="5"/>
    <s v="P009"/>
    <s v="Monitor"/>
    <x v="0"/>
    <n v="4"/>
    <n v="249.99"/>
    <x v="3"/>
    <x v="0"/>
    <x v="1"/>
    <n v="45217"/>
    <n v="999.96"/>
    <x v="9"/>
  </r>
  <r>
    <s v="TRX0030"/>
    <n v="45686"/>
    <s v="CUST011"/>
    <x v="44"/>
    <s v="P001"/>
    <s v="Laptop"/>
    <x v="0"/>
    <n v="4"/>
    <n v="899.99"/>
    <x v="2"/>
    <x v="0"/>
    <x v="0"/>
    <n v="44734"/>
    <n v="3599.96"/>
    <x v="9"/>
  </r>
  <r>
    <s v="TRX0178"/>
    <n v="45686"/>
    <s v="CUST025"/>
    <x v="14"/>
    <s v="P007"/>
    <s v="Desk"/>
    <x v="2"/>
    <n v="3"/>
    <n v="299.99"/>
    <x v="3"/>
    <x v="3"/>
    <x v="2"/>
    <n v="44952"/>
    <n v="899.97"/>
    <x v="9"/>
  </r>
  <r>
    <s v="TRX0188"/>
    <n v="45686"/>
    <s v="CUST045"/>
    <x v="46"/>
    <s v="P002"/>
    <s v="Smartphone"/>
    <x v="0"/>
    <n v="2"/>
    <n v="699.99"/>
    <x v="3"/>
    <x v="0"/>
    <x v="1"/>
    <n v="44681"/>
    <n v="1399.98"/>
    <x v="9"/>
  </r>
  <r>
    <s v="TRX0010"/>
    <n v="45688"/>
    <s v="CUST026"/>
    <x v="8"/>
    <s v="P002"/>
    <s v="Smartphone"/>
    <x v="0"/>
    <n v="4"/>
    <n v="699.99"/>
    <x v="3"/>
    <x v="3"/>
    <x v="1"/>
    <n v="44692"/>
    <n v="2799.96"/>
    <x v="9"/>
  </r>
  <r>
    <s v="TRX0069"/>
    <n v="45688"/>
    <s v="CUST029"/>
    <x v="23"/>
    <s v="P010"/>
    <s v="Keyboard"/>
    <x v="0"/>
    <n v="2"/>
    <n v="89.99"/>
    <x v="3"/>
    <x v="1"/>
    <x v="0"/>
    <n v="44777"/>
    <n v="179.98"/>
    <x v="9"/>
  </r>
  <r>
    <s v="TRX0166"/>
    <n v="45688"/>
    <s v="CUST003"/>
    <x v="4"/>
    <s v="P010"/>
    <s v="Keyboard"/>
    <x v="0"/>
    <n v="3"/>
    <n v="89.99"/>
    <x v="3"/>
    <x v="1"/>
    <x v="1"/>
    <n v="45307"/>
    <n v="269.97000000000003"/>
    <x v="9"/>
  </r>
  <r>
    <s v="TRX0219"/>
    <n v="45692"/>
    <s v="CUST037"/>
    <x v="48"/>
    <s v="P005"/>
    <s v="Blender"/>
    <x v="1"/>
    <n v="1"/>
    <n v="59.99"/>
    <x v="3"/>
    <x v="0"/>
    <x v="2"/>
    <n v="45045"/>
    <n v="59.99"/>
    <x v="10"/>
  </r>
  <r>
    <s v="TRX0024"/>
    <n v="45695"/>
    <s v="CUST042"/>
    <x v="43"/>
    <s v="P008"/>
    <s v="Bookshelf"/>
    <x v="2"/>
    <n v="3"/>
    <n v="149.99"/>
    <x v="3"/>
    <x v="2"/>
    <x v="1"/>
    <n v="44564"/>
    <n v="449.97"/>
    <x v="10"/>
  </r>
  <r>
    <s v="TRX0105"/>
    <n v="45695"/>
    <s v="CUST048"/>
    <x v="16"/>
    <s v="P007"/>
    <s v="Desk"/>
    <x v="2"/>
    <n v="5"/>
    <n v="299.99"/>
    <x v="1"/>
    <x v="1"/>
    <x v="0"/>
    <n v="44959"/>
    <n v="1499.95"/>
    <x v="10"/>
  </r>
  <r>
    <s v="TRX0011"/>
    <n v="45696"/>
    <s v="CUST040"/>
    <x v="30"/>
    <s v="P005"/>
    <s v="Blender"/>
    <x v="1"/>
    <n v="5"/>
    <n v="59.99"/>
    <x v="3"/>
    <x v="0"/>
    <x v="2"/>
    <n v="45177"/>
    <n v="299.95"/>
    <x v="10"/>
  </r>
  <r>
    <s v="TRX0187"/>
    <n v="45701"/>
    <s v="CUST036"/>
    <x v="20"/>
    <s v="P004"/>
    <s v="Coffee Maker"/>
    <x v="1"/>
    <n v="3"/>
    <n v="79.989999999999995"/>
    <x v="0"/>
    <x v="4"/>
    <x v="1"/>
    <n v="44436"/>
    <n v="239.97"/>
    <x v="10"/>
  </r>
  <r>
    <s v="TRX0089"/>
    <n v="45704"/>
    <s v="CUST021"/>
    <x v="2"/>
    <s v="P006"/>
    <s v="Office Chair"/>
    <x v="2"/>
    <n v="3"/>
    <n v="199.99"/>
    <x v="0"/>
    <x v="0"/>
    <x v="0"/>
    <n v="44735"/>
    <n v="599.97"/>
    <x v="10"/>
  </r>
  <r>
    <s v="TRX0196"/>
    <n v="45704"/>
    <s v="CUST023"/>
    <x v="0"/>
    <s v="P010"/>
    <s v="Keyboard"/>
    <x v="0"/>
    <n v="2"/>
    <n v="89.99"/>
    <x v="2"/>
    <x v="0"/>
    <x v="0"/>
    <n v="45257"/>
    <n v="179.98"/>
    <x v="10"/>
  </r>
  <r>
    <s v="TRX0118"/>
    <n v="45705"/>
    <s v="CUST015"/>
    <x v="45"/>
    <s v="P008"/>
    <s v="Bookshelf"/>
    <x v="2"/>
    <n v="2"/>
    <n v="149.99"/>
    <x v="0"/>
    <x v="1"/>
    <x v="1"/>
    <n v="44728"/>
    <n v="299.98"/>
    <x v="10"/>
  </r>
  <r>
    <s v="TRX0179"/>
    <n v="45707"/>
    <s v="CUST029"/>
    <x v="23"/>
    <s v="P002"/>
    <s v="Smartphone"/>
    <x v="0"/>
    <n v="5"/>
    <n v="699.99"/>
    <x v="2"/>
    <x v="1"/>
    <x v="1"/>
    <n v="45352"/>
    <n v="3499.95"/>
    <x v="10"/>
  </r>
  <r>
    <s v="TRX0168"/>
    <n v="45707"/>
    <s v="CUST003"/>
    <x v="4"/>
    <s v="P008"/>
    <s v="Bookshelf"/>
    <x v="2"/>
    <n v="3"/>
    <n v="149.99"/>
    <x v="2"/>
    <x v="0"/>
    <x v="2"/>
    <n v="44633"/>
    <n v="449.97"/>
    <x v="10"/>
  </r>
  <r>
    <s v="TRX0214"/>
    <n v="45708"/>
    <s v="CUST018"/>
    <x v="17"/>
    <s v="P001"/>
    <s v="Laptop"/>
    <x v="0"/>
    <n v="3"/>
    <n v="899.99"/>
    <x v="0"/>
    <x v="4"/>
    <x v="2"/>
    <n v="44613"/>
    <n v="2699.97"/>
    <x v="10"/>
  </r>
  <r>
    <s v="TRX0221"/>
    <n v="45708"/>
    <s v="CUST033"/>
    <x v="37"/>
    <s v="P006"/>
    <s v="Office Chair"/>
    <x v="2"/>
    <n v="3"/>
    <n v="199.99"/>
    <x v="0"/>
    <x v="3"/>
    <x v="1"/>
    <n v="44823"/>
    <n v="599.97"/>
    <x v="10"/>
  </r>
  <r>
    <s v="TRX0083"/>
    <n v="45710"/>
    <s v="CUST017"/>
    <x v="6"/>
    <s v="P007"/>
    <s v="Desk"/>
    <x v="2"/>
    <n v="5"/>
    <n v="299.99"/>
    <x v="0"/>
    <x v="3"/>
    <x v="2"/>
    <n v="45142"/>
    <n v="1499.95"/>
    <x v="10"/>
  </r>
  <r>
    <s v="TRX0151"/>
    <n v="45710"/>
    <s v="CUST040"/>
    <x v="30"/>
    <s v="P002"/>
    <s v="Smartphone"/>
    <x v="0"/>
    <n v="1"/>
    <n v="699.99"/>
    <x v="2"/>
    <x v="3"/>
    <x v="0"/>
    <n v="44934"/>
    <n v="699.99"/>
    <x v="10"/>
  </r>
  <r>
    <s v="TRX0047"/>
    <n v="45711"/>
    <s v="CUST042"/>
    <x v="43"/>
    <s v="P002"/>
    <s v="Smartphone"/>
    <x v="0"/>
    <n v="1"/>
    <n v="699.99"/>
    <x v="0"/>
    <x v="2"/>
    <x v="1"/>
    <n v="44583"/>
    <n v="699.99"/>
    <x v="10"/>
  </r>
  <r>
    <s v="TRX0200"/>
    <n v="45711"/>
    <s v="CUST037"/>
    <x v="48"/>
    <s v="P008"/>
    <s v="Bookshelf"/>
    <x v="2"/>
    <n v="4"/>
    <n v="149.99"/>
    <x v="2"/>
    <x v="2"/>
    <x v="1"/>
    <n v="44412"/>
    <n v="599.96"/>
    <x v="10"/>
  </r>
  <r>
    <s v="TRX0062"/>
    <n v="45711"/>
    <s v="CUST016"/>
    <x v="39"/>
    <s v="P010"/>
    <s v="Keyboard"/>
    <x v="0"/>
    <n v="5"/>
    <n v="89.99"/>
    <x v="2"/>
    <x v="3"/>
    <x v="1"/>
    <n v="45140"/>
    <n v="449.95"/>
    <x v="10"/>
  </r>
  <r>
    <s v="TRX0182"/>
    <n v="45712"/>
    <s v="CUST031"/>
    <x v="26"/>
    <s v="P006"/>
    <s v="Office Chair"/>
    <x v="2"/>
    <n v="2"/>
    <n v="199.99"/>
    <x v="0"/>
    <x v="0"/>
    <x v="1"/>
    <n v="44573"/>
    <n v="399.98"/>
    <x v="10"/>
  </r>
  <r>
    <s v="TRX0229"/>
    <n v="45715"/>
    <s v="CUST015"/>
    <x v="45"/>
    <s v="P005"/>
    <s v="Blender"/>
    <x v="1"/>
    <n v="4"/>
    <n v="59.99"/>
    <x v="0"/>
    <x v="3"/>
    <x v="2"/>
    <n v="45070"/>
    <n v="239.96"/>
    <x v="10"/>
  </r>
  <r>
    <s v="TRX0048"/>
    <n v="45715"/>
    <s v="CUST048"/>
    <x v="16"/>
    <s v="P007"/>
    <s v="Desk"/>
    <x v="2"/>
    <n v="2"/>
    <n v="299.99"/>
    <x v="2"/>
    <x v="1"/>
    <x v="0"/>
    <n v="44576"/>
    <n v="599.98"/>
    <x v="10"/>
  </r>
  <r>
    <s v="TRX0227"/>
    <n v="45718"/>
    <s v="CUST017"/>
    <x v="6"/>
    <s v="P008"/>
    <s v="Bookshelf"/>
    <x v="2"/>
    <n v="2"/>
    <n v="149.99"/>
    <x v="0"/>
    <x v="0"/>
    <x v="0"/>
    <n v="45068"/>
    <n v="299.98"/>
    <x v="11"/>
  </r>
  <r>
    <s v="TRX0226"/>
    <n v="45720"/>
    <s v="CUST039"/>
    <x v="40"/>
    <s v="P002"/>
    <s v="Smartphone"/>
    <x v="0"/>
    <n v="5"/>
    <n v="699.99"/>
    <x v="3"/>
    <x v="4"/>
    <x v="1"/>
    <n v="45161"/>
    <n v="3499.95"/>
    <x v="11"/>
  </r>
  <r>
    <s v="TRX0053"/>
    <n v="45721"/>
    <s v="CUST043"/>
    <x v="11"/>
    <s v="P005"/>
    <s v="Blender"/>
    <x v="1"/>
    <n v="5"/>
    <n v="59.99"/>
    <x v="0"/>
    <x v="3"/>
    <x v="1"/>
    <n v="45291"/>
    <n v="299.95"/>
    <x v="11"/>
  </r>
  <r>
    <s v="TRX0233"/>
    <n v="45723"/>
    <s v="CUST023"/>
    <x v="0"/>
    <s v="P010"/>
    <s v="Keyboard"/>
    <x v="0"/>
    <n v="2"/>
    <n v="89.99"/>
    <x v="1"/>
    <x v="3"/>
    <x v="1"/>
    <n v="45295"/>
    <n v="179.98"/>
    <x v="11"/>
  </r>
  <r>
    <s v="TRX0175"/>
    <n v="45723"/>
    <s v="CUST030"/>
    <x v="22"/>
    <s v="P009"/>
    <s v="Monitor"/>
    <x v="0"/>
    <n v="5"/>
    <n v="249.99"/>
    <x v="0"/>
    <x v="4"/>
    <x v="2"/>
    <n v="44540"/>
    <n v="1249.95"/>
    <x v="11"/>
  </r>
  <r>
    <s v="TRX0186"/>
    <n v="45724"/>
    <s v="CUST039"/>
    <x v="40"/>
    <s v="P008"/>
    <s v="Bookshelf"/>
    <x v="2"/>
    <n v="2"/>
    <n v="149.99"/>
    <x v="2"/>
    <x v="0"/>
    <x v="1"/>
    <n v="44632"/>
    <n v="299.98"/>
    <x v="11"/>
  </r>
  <r>
    <s v="TRX0016"/>
    <n v="45724"/>
    <s v="CUST035"/>
    <x v="28"/>
    <s v="P001"/>
    <s v="Laptop"/>
    <x v="0"/>
    <n v="5"/>
    <n v="899.99"/>
    <x v="2"/>
    <x v="4"/>
    <x v="1"/>
    <n v="45389"/>
    <n v="4499.95"/>
    <x v="11"/>
  </r>
  <r>
    <s v="TRX0199"/>
    <n v="45724"/>
    <s v="CUST017"/>
    <x v="6"/>
    <s v="P008"/>
    <s v="Bookshelf"/>
    <x v="2"/>
    <n v="4"/>
    <n v="149.99"/>
    <x v="0"/>
    <x v="0"/>
    <x v="2"/>
    <n v="45263"/>
    <n v="599.96"/>
    <x v="11"/>
  </r>
  <r>
    <s v="TRX0038"/>
    <n v="45726"/>
    <s v="CUST035"/>
    <x v="28"/>
    <s v="P009"/>
    <s v="Monitor"/>
    <x v="0"/>
    <n v="1"/>
    <n v="249.99"/>
    <x v="0"/>
    <x v="2"/>
    <x v="2"/>
    <n v="45117"/>
    <n v="249.99"/>
    <x v="11"/>
  </r>
  <r>
    <s v="TRX0014"/>
    <n v="45734"/>
    <s v="CUST033"/>
    <x v="37"/>
    <s v="P005"/>
    <s v="Blender"/>
    <x v="1"/>
    <n v="2"/>
    <n v="59.99"/>
    <x v="1"/>
    <x v="3"/>
    <x v="0"/>
    <n v="45193"/>
    <n v="119.98"/>
    <x v="11"/>
  </r>
  <r>
    <s v="TRX0003"/>
    <n v="45737"/>
    <s v="CUST002"/>
    <x v="25"/>
    <s v="P008"/>
    <s v="Bookshelf"/>
    <x v="2"/>
    <n v="2"/>
    <n v="149.99"/>
    <x v="0"/>
    <x v="3"/>
    <x v="1"/>
    <n v="45233"/>
    <n v="299.98"/>
    <x v="11"/>
  </r>
  <r>
    <s v="TRX0124"/>
    <n v="45737"/>
    <s v="CUST040"/>
    <x v="30"/>
    <s v="P001"/>
    <s v="Laptop"/>
    <x v="0"/>
    <n v="3"/>
    <n v="899.99"/>
    <x v="3"/>
    <x v="2"/>
    <x v="1"/>
    <n v="44876"/>
    <n v="2699.97"/>
    <x v="11"/>
  </r>
  <r>
    <s v="TRX0013"/>
    <n v="45737"/>
    <s v="CUST024"/>
    <x v="5"/>
    <s v="P001"/>
    <s v="Laptop"/>
    <x v="0"/>
    <n v="3"/>
    <n v="899.99"/>
    <x v="2"/>
    <x v="2"/>
    <x v="0"/>
    <n v="44975"/>
    <n v="2699.97"/>
    <x v="11"/>
  </r>
  <r>
    <s v="TRX0019"/>
    <n v="45739"/>
    <s v="CUST023"/>
    <x v="0"/>
    <s v="P007"/>
    <s v="Desk"/>
    <x v="2"/>
    <n v="3"/>
    <n v="299.99"/>
    <x v="1"/>
    <x v="3"/>
    <x v="1"/>
    <n v="45234"/>
    <n v="899.97"/>
    <x v="11"/>
  </r>
  <r>
    <s v="TRX0050"/>
    <n v="45740"/>
    <s v="CUST001"/>
    <x v="49"/>
    <s v="P008"/>
    <s v="Bookshelf"/>
    <x v="2"/>
    <n v="4"/>
    <n v="149.99"/>
    <x v="2"/>
    <x v="3"/>
    <x v="2"/>
    <n v="44560"/>
    <n v="599.96"/>
    <x v="11"/>
  </r>
  <r>
    <s v="TRX0152"/>
    <n v="45743"/>
    <s v="CUST044"/>
    <x v="19"/>
    <s v="P004"/>
    <s v="Coffee Maker"/>
    <x v="1"/>
    <n v="4"/>
    <n v="79.989999999999995"/>
    <x v="1"/>
    <x v="0"/>
    <x v="0"/>
    <n v="45288"/>
    <n v="319.95999999999998"/>
    <x v="11"/>
  </r>
  <r>
    <s v="TRX0213"/>
    <n v="45745"/>
    <s v="CUST020"/>
    <x v="36"/>
    <s v="P010"/>
    <s v="Keyboard"/>
    <x v="0"/>
    <n v="5"/>
    <n v="89.99"/>
    <x v="2"/>
    <x v="1"/>
    <x v="0"/>
    <n v="44704"/>
    <n v="449.95"/>
    <x v="11"/>
  </r>
  <r>
    <s v="TRX0197"/>
    <n v="45746"/>
    <s v="CUST048"/>
    <x v="16"/>
    <s v="P008"/>
    <s v="Bookshelf"/>
    <x v="2"/>
    <n v="3"/>
    <n v="149.99"/>
    <x v="2"/>
    <x v="0"/>
    <x v="2"/>
    <n v="45171"/>
    <n v="449.97"/>
    <x v="11"/>
  </r>
  <r>
    <s v="TRX0250"/>
    <n v="45746"/>
    <s v="CUST026"/>
    <x v="8"/>
    <s v="P010"/>
    <s v="Keyboard"/>
    <x v="0"/>
    <n v="2"/>
    <n v="89.99"/>
    <x v="3"/>
    <x v="3"/>
    <x v="1"/>
    <n v="44522"/>
    <n v="179.98"/>
    <x v="11"/>
  </r>
  <r>
    <s v="TRX0068"/>
    <n v="45748"/>
    <s v="CUST044"/>
    <x v="19"/>
    <s v="P002"/>
    <s v="Smartphone"/>
    <x v="0"/>
    <n v="2"/>
    <n v="699.99"/>
    <x v="2"/>
    <x v="2"/>
    <x v="2"/>
    <n v="44618"/>
    <n v="1399.98"/>
    <x v="0"/>
  </r>
  <r>
    <s v="TRX0144"/>
    <n v="45749"/>
    <s v="CUST029"/>
    <x v="23"/>
    <s v="P001"/>
    <s v="Laptop"/>
    <x v="0"/>
    <n v="3"/>
    <n v="899.99"/>
    <x v="0"/>
    <x v="0"/>
    <x v="2"/>
    <n v="44953"/>
    <n v="2699.97"/>
    <x v="0"/>
  </r>
  <r>
    <s v="TRX0039"/>
    <n v="45755"/>
    <s v="CUST048"/>
    <x v="16"/>
    <s v="P004"/>
    <s v="Coffee Maker"/>
    <x v="1"/>
    <n v="3"/>
    <n v="79.989999999999995"/>
    <x v="1"/>
    <x v="2"/>
    <x v="0"/>
    <n v="44511"/>
    <n v="239.97"/>
    <x v="0"/>
  </r>
  <r>
    <s v="TRX0116"/>
    <n v="45756"/>
    <s v="CUST009"/>
    <x v="7"/>
    <s v="P010"/>
    <s v="Keyboard"/>
    <x v="0"/>
    <n v="1"/>
    <n v="89.99"/>
    <x v="3"/>
    <x v="4"/>
    <x v="0"/>
    <n v="45346"/>
    <n v="89.99"/>
    <x v="0"/>
  </r>
  <r>
    <s v="TRX0120"/>
    <n v="45758"/>
    <s v="CUST045"/>
    <x v="46"/>
    <s v="P002"/>
    <s v="Smartphone"/>
    <x v="0"/>
    <n v="3"/>
    <n v="699.99"/>
    <x v="2"/>
    <x v="2"/>
    <x v="0"/>
    <n v="44909"/>
    <n v="2099.9699999999998"/>
    <x v="0"/>
  </r>
  <r>
    <s v="TRX0103"/>
    <n v="45758"/>
    <s v="CUST039"/>
    <x v="40"/>
    <s v="P010"/>
    <s v="Keyboard"/>
    <x v="0"/>
    <n v="2"/>
    <n v="89.99"/>
    <x v="3"/>
    <x v="4"/>
    <x v="0"/>
    <n v="45088"/>
    <n v="179.98"/>
    <x v="0"/>
  </r>
  <r>
    <s v="TRX0064"/>
    <n v="45758"/>
    <s v="CUST031"/>
    <x v="26"/>
    <s v="P010"/>
    <s v="Keyboard"/>
    <x v="0"/>
    <n v="3"/>
    <n v="89.99"/>
    <x v="3"/>
    <x v="2"/>
    <x v="1"/>
    <n v="44878"/>
    <n v="269.9700000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AC45FC-A574-4CD5-8BD7-BA0B7F2CA8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31:C37" firstHeaderRow="1" firstDataRow="1" firstDataCol="1"/>
  <pivotFields count="15">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A38E7D-ACC4-4F8B-88BA-2BC24E20A6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0:C14" firstHeaderRow="1" firstDataRow="1" firstDataCol="1"/>
  <pivotFields count="15">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5">
        <item x="0"/>
        <item x="1"/>
        <item x="3"/>
        <item x="2"/>
        <item t="default"/>
      </items>
    </pivotField>
    <pivotField showAll="0"/>
    <pivotField showAll="0"/>
    <pivotField numFmtId="164" showAll="0"/>
    <pivotField dataField="1" showAll="0"/>
    <pivotField showAll="0">
      <items count="13">
        <item h="1" x="9"/>
        <item h="1" x="10"/>
        <item x="11"/>
        <item h="1" x="0"/>
        <item h="1" x="1"/>
        <item h="1" x="2"/>
        <item h="1" x="3"/>
        <item h="1" x="4"/>
        <item h="1" x="5"/>
        <item h="1" x="6"/>
        <item h="1" x="7"/>
        <item h="1" x="8"/>
        <item t="default"/>
      </items>
    </pivotField>
  </pivotFields>
  <rowFields count="1">
    <field x="6"/>
  </rowFields>
  <rowItems count="4">
    <i>
      <x/>
    </i>
    <i>
      <x v="1"/>
    </i>
    <i>
      <x v="2"/>
    </i>
    <i t="grand">
      <x/>
    </i>
  </rowItems>
  <colItems count="1">
    <i/>
  </colItems>
  <dataFields count="1">
    <dataField name="Sum of Total_Amount" fld="13"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1C18DD-C9D4-488B-AE8E-F7D87A0EFC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47:C60"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1">
    <chartFormat chart="21"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E919B3-44B6-4BC6-A70D-F21D2C45AF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0:N35" firstHeaderRow="1" firstDataRow="1" firstDataCol="1"/>
  <pivotFields count="15">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64" showAll="0"/>
    <pivotField dataField="1" showAll="0"/>
    <pivotField showAll="0"/>
  </pivotFields>
  <rowFields count="1">
    <field x="9"/>
  </rowFields>
  <rowItems count="5">
    <i>
      <x/>
    </i>
    <i>
      <x v="1"/>
    </i>
    <i>
      <x v="2"/>
    </i>
    <i>
      <x v="3"/>
    </i>
    <i t="grand">
      <x/>
    </i>
  </rowItems>
  <colItems count="1">
    <i/>
  </colItems>
  <dataFields count="1">
    <dataField name="Sum of Total_Amount" fld="13"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2DD2F-4066-4C3D-823B-5FDAEF04A1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2:Z63" firstHeaderRow="1" firstDataRow="1" firstDataCol="1"/>
  <pivotFields count="15">
    <pivotField showAll="0"/>
    <pivotField showAll="0"/>
    <pivotField showAll="0"/>
    <pivotField axis="axisRow" showAll="0" sortType="descending">
      <items count="51">
        <item x="44"/>
        <item x="16"/>
        <item x="9"/>
        <item x="26"/>
        <item x="30"/>
        <item x="31"/>
        <item x="42"/>
        <item x="43"/>
        <item x="7"/>
        <item x="45"/>
        <item x="34"/>
        <item x="10"/>
        <item x="0"/>
        <item x="18"/>
        <item x="20"/>
        <item x="12"/>
        <item x="4"/>
        <item x="14"/>
        <item x="15"/>
        <item x="36"/>
        <item x="24"/>
        <item x="21"/>
        <item x="40"/>
        <item x="2"/>
        <item x="3"/>
        <item x="8"/>
        <item x="33"/>
        <item x="1"/>
        <item x="49"/>
        <item x="27"/>
        <item x="47"/>
        <item x="22"/>
        <item x="28"/>
        <item x="38"/>
        <item x="13"/>
        <item x="37"/>
        <item x="25"/>
        <item x="39"/>
        <item x="23"/>
        <item x="46"/>
        <item x="5"/>
        <item x="11"/>
        <item x="35"/>
        <item x="29"/>
        <item x="19"/>
        <item x="6"/>
        <item x="41"/>
        <item x="32"/>
        <item x="1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showAll="0"/>
    <pivotField showAll="0"/>
  </pivotFields>
  <rowFields count="1">
    <field x="3"/>
  </rowFields>
  <rowItems count="51">
    <i>
      <x v="17"/>
    </i>
    <i>
      <x v="38"/>
    </i>
    <i>
      <x v="48"/>
    </i>
    <i>
      <x v="13"/>
    </i>
    <i>
      <x v="12"/>
    </i>
    <i>
      <x v="40"/>
    </i>
    <i>
      <x v="25"/>
    </i>
    <i>
      <x v="43"/>
    </i>
    <i>
      <x v="22"/>
    </i>
    <i>
      <x v="27"/>
    </i>
    <i>
      <x v="31"/>
    </i>
    <i>
      <x v="33"/>
    </i>
    <i>
      <x v="6"/>
    </i>
    <i>
      <x v="16"/>
    </i>
    <i>
      <x v="11"/>
    </i>
    <i>
      <x v="47"/>
    </i>
    <i>
      <x v="4"/>
    </i>
    <i>
      <x v="32"/>
    </i>
    <i>
      <x v="5"/>
    </i>
    <i>
      <x v="45"/>
    </i>
    <i>
      <x v="39"/>
    </i>
    <i>
      <x v="1"/>
    </i>
    <i>
      <x/>
    </i>
    <i>
      <x v="29"/>
    </i>
    <i>
      <x v="24"/>
    </i>
    <i>
      <x v="15"/>
    </i>
    <i>
      <x v="14"/>
    </i>
    <i>
      <x v="34"/>
    </i>
    <i>
      <x v="44"/>
    </i>
    <i>
      <x v="10"/>
    </i>
    <i>
      <x v="37"/>
    </i>
    <i>
      <x v="8"/>
    </i>
    <i>
      <x v="23"/>
    </i>
    <i>
      <x v="3"/>
    </i>
    <i>
      <x v="19"/>
    </i>
    <i>
      <x v="20"/>
    </i>
    <i>
      <x v="2"/>
    </i>
    <i>
      <x v="18"/>
    </i>
    <i>
      <x v="42"/>
    </i>
    <i>
      <x v="7"/>
    </i>
    <i>
      <x v="49"/>
    </i>
    <i>
      <x v="35"/>
    </i>
    <i>
      <x v="21"/>
    </i>
    <i>
      <x v="36"/>
    </i>
    <i>
      <x v="46"/>
    </i>
    <i>
      <x v="9"/>
    </i>
    <i>
      <x v="28"/>
    </i>
    <i>
      <x v="41"/>
    </i>
    <i>
      <x v="26"/>
    </i>
    <i>
      <x v="30"/>
    </i>
    <i t="grand">
      <x/>
    </i>
  </rowItems>
  <colItems count="1">
    <i/>
  </colItems>
  <dataFields count="1">
    <dataField name="Sum of Total_Amount" fld="13" baseField="0" baseItem="0"/>
  </dataFields>
  <formats count="6">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grandRow="1" outline="0" fieldPosition="0"/>
    </format>
    <format dxfId="48">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CB070E-0A51-4C58-844B-FD1F39F76E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0:AC14"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s>
  <rowFields count="1">
    <field x="11"/>
  </rowFields>
  <rowItems count="4">
    <i>
      <x/>
    </i>
    <i>
      <x v="1"/>
    </i>
    <i>
      <x v="2"/>
    </i>
    <i t="grand">
      <x/>
    </i>
  </rowItems>
  <colItems count="1">
    <i/>
  </colItems>
  <dataFields count="1">
    <dataField name="Sum of Total_Amount" fld="13" baseField="0" baseItem="0"/>
  </dataFields>
  <formats count="6">
    <format dxfId="59">
      <pivotArea type="all" dataOnly="0" outline="0" fieldPosition="0"/>
    </format>
    <format dxfId="58">
      <pivotArea outline="0" collapsedLevelsAreSubtotals="1" fieldPosition="0"/>
    </format>
    <format dxfId="57">
      <pivotArea field="11" type="button" dataOnly="0" labelOnly="1" outline="0" axis="axisRow" fieldPosition="0"/>
    </format>
    <format dxfId="56">
      <pivotArea dataOnly="0" labelOnly="1" fieldPosition="0">
        <references count="1">
          <reference field="11" count="0"/>
        </references>
      </pivotArea>
    </format>
    <format dxfId="55">
      <pivotArea dataOnly="0" labelOnly="1" grandRow="1" outline="0" fieldPosition="0"/>
    </format>
    <format dxfId="54">
      <pivotArea dataOnly="0" labelOnly="1" outline="0" axis="axisValues"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42DCD9-1661-4993-A3B7-7C6300F69A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19:C25" firstHeaderRow="1" firstDataRow="1" firstDataCol="1"/>
  <pivotFields count="15">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27" format="12" series="1">
      <pivotArea type="data" outline="0" fieldPosition="0">
        <references count="1">
          <reference field="4294967294" count="1" selected="0">
            <x v="0"/>
          </reference>
        </references>
      </pivotArea>
    </chartFormat>
    <chartFormat chart="27" format="13">
      <pivotArea type="data" outline="0" fieldPosition="0">
        <references count="2">
          <reference field="4294967294" count="1" selected="0">
            <x v="0"/>
          </reference>
          <reference field="10" count="1" selected="0">
            <x v="0"/>
          </reference>
        </references>
      </pivotArea>
    </chartFormat>
    <chartFormat chart="27" format="14">
      <pivotArea type="data" outline="0" fieldPosition="0">
        <references count="2">
          <reference field="4294967294" count="1" selected="0">
            <x v="0"/>
          </reference>
          <reference field="10" count="1" selected="0">
            <x v="1"/>
          </reference>
        </references>
      </pivotArea>
    </chartFormat>
    <chartFormat chart="27" format="15">
      <pivotArea type="data" outline="0" fieldPosition="0">
        <references count="2">
          <reference field="4294967294" count="1" selected="0">
            <x v="0"/>
          </reference>
          <reference field="10" count="1" selected="0">
            <x v="2"/>
          </reference>
        </references>
      </pivotArea>
    </chartFormat>
    <chartFormat chart="27" format="16">
      <pivotArea type="data" outline="0" fieldPosition="0">
        <references count="2">
          <reference field="4294967294" count="1" selected="0">
            <x v="0"/>
          </reference>
          <reference field="10" count="1" selected="0">
            <x v="3"/>
          </reference>
        </references>
      </pivotArea>
    </chartFormat>
    <chartFormat chart="27" format="17">
      <pivotArea type="data" outline="0" fieldPosition="0">
        <references count="2">
          <reference field="4294967294" count="1" selected="0">
            <x v="0"/>
          </reference>
          <reference field="10" count="1" selected="0">
            <x v="4"/>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B478E2-B8FC-4259-87FE-E8DAA6FE0F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15">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5">
        <item x="0"/>
        <item x="1"/>
        <item x="3"/>
        <item x="2"/>
        <item t="default"/>
      </items>
    </pivotField>
    <pivotField showAll="0"/>
    <pivotField showAll="0"/>
    <pivotField numFmtId="164" showAll="0"/>
    <pivotField dataField="1" showAll="0"/>
    <pivotField showAll="0">
      <items count="13">
        <item h="1" x="9"/>
        <item h="1" x="10"/>
        <item x="11"/>
        <item h="1" x="0"/>
        <item h="1" x="1"/>
        <item h="1" x="2"/>
        <item h="1" x="3"/>
        <item h="1" x="4"/>
        <item h="1" x="5"/>
        <item h="1" x="6"/>
        <item h="1" x="7"/>
        <item h="1" x="8"/>
        <item t="default"/>
      </items>
    </pivotField>
  </pivotFields>
  <rowFields count="1">
    <field x="6"/>
  </rowFields>
  <rowItems count="4">
    <i>
      <x/>
    </i>
    <i>
      <x v="1"/>
    </i>
    <i>
      <x v="2"/>
    </i>
    <i t="grand">
      <x/>
    </i>
  </rowItems>
  <colItems count="1">
    <i/>
  </colItems>
  <dataFields count="1">
    <dataField name="Sum of Total_Amount" fld="13" baseField="0" baseItem="0"/>
  </dataFields>
  <chartFormats count="2">
    <chartFormat chart="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CC0D0C-78F7-464D-B080-5307B61288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19:M24" firstHeaderRow="1" firstDataRow="1" firstDataCol="1"/>
  <pivotFields count="15">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64" showAll="0"/>
    <pivotField dataField="1" showAll="0"/>
    <pivotField showAll="0"/>
  </pivotFields>
  <rowFields count="1">
    <field x="9"/>
  </rowFields>
  <rowItems count="5">
    <i>
      <x/>
    </i>
    <i>
      <x v="1"/>
    </i>
    <i>
      <x v="2"/>
    </i>
    <i>
      <x v="3"/>
    </i>
    <i t="grand">
      <x/>
    </i>
  </rowItems>
  <colItems count="1">
    <i/>
  </colItems>
  <dataFields count="1">
    <dataField name="Sum of Total_Amount" fld="13"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7A9613-A3AB-4CB9-A8C5-C2BDDFE9DC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16"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4">
    <chartFormat chart="21"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D7FE017-8C27-49D4-8678-7FEC4B66667E}" sourceName="Month">
  <pivotTables>
    <pivotTable tabId="3" name="PivotTable1"/>
    <pivotTable tabId="6" name="PivotTable1"/>
  </pivotTables>
  <data>
    <tabular pivotCacheId="1657704611">
      <items count="12">
        <i x="9"/>
        <i x="10"/>
        <i x="11" s="1"/>
        <i x="0"/>
        <i x="1"/>
        <i x="2"/>
        <i x="3"/>
        <i x="4"/>
        <i x="5"/>
        <i x="6"/>
        <i x="7"/>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A451E4D-A804-4AB9-9BF9-154B732F7D95}" sourceName="Payment_Method">
  <pivotTables>
    <pivotTable tabId="3" name="PivotTable1"/>
    <pivotTable tabId="6" name="PivotTable1"/>
  </pivotTables>
  <data>
    <tabular pivotCacheId="165770461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511EE0A-F392-4C0A-BA0D-5770C23B2C1F}" cache="Slicer_Month" caption="Month" style="SlicerStyleDark6" rowHeight="234950"/>
  <slicer name="Month 2" xr10:uid="{C1B0F969-6E13-41F7-B1A6-55468730B737}" cache="Slicer_Month" caption="Month"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11D44FF-35D6-4859-BFE7-DD36290611CF}" cache="Slicer_Month" caption="Month" style="SlicerStyleDark6" rowHeight="234950"/>
  <slicer name="Payment_Method" xr10:uid="{37B12E8B-77E7-4DDC-8B27-E54F4EB7205E}" cache="Slicer_Payment_Method" caption="Payment_Method"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B17ED3-420A-472F-9AD5-4A613126F2ED}" name="Table1" displayName="Table1" ref="A1:W251" totalsRowShown="0" headerRowDxfId="47" dataDxfId="46">
  <autoFilter ref="A1:W251" xr:uid="{07B17ED3-420A-472F-9AD5-4A613126F2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1" xr3:uid="{961E016C-64CA-402D-8ECC-4606E4663840}" name="Transaction_ID" dataDxfId="45"/>
    <tableColumn id="12" xr3:uid="{F8363C24-9DAA-44CB-A829-269E3852B052}" name="Date" dataDxfId="44"/>
    <tableColumn id="13" xr3:uid="{35A8B5C0-4B28-4118-BC11-EF9DAAEEC89C}" name="Customer_ID" dataDxfId="43"/>
    <tableColumn id="14" xr3:uid="{A2F82A47-00F7-4F6B-AF43-BF8C5B69C216}" name="Customer_Name" dataDxfId="42"/>
    <tableColumn id="15" xr3:uid="{FDBC83D4-A797-40C9-B61D-9742AF462707}" name="Product_ID" dataDxfId="41"/>
    <tableColumn id="1" xr3:uid="{747F7C04-E9D1-4F7F-B912-FEAE28976792}" name="Product_Name" dataDxfId="40"/>
    <tableColumn id="2" xr3:uid="{CC71F42D-38FD-4930-930A-92C51E649B95}" name="Category" dataDxfId="39"/>
    <tableColumn id="3" xr3:uid="{3341E75D-92EB-49EC-ACF7-ECC4B8DB4DE3}" name="Quantity" dataDxfId="38"/>
    <tableColumn id="4" xr3:uid="{93CD6490-8D73-418B-A2FC-B18486F6963C}" name="Unit_Price" dataDxfId="37"/>
    <tableColumn id="5" xr3:uid="{58F35AF4-A8BA-4BC5-9085-C3E81DF034BE}" name="Payment_Method" dataDxfId="36"/>
    <tableColumn id="6" xr3:uid="{6DFB8150-8127-4795-97FA-152B19CAE791}" name="Region" dataDxfId="35"/>
    <tableColumn id="7" xr3:uid="{1365E551-DF67-464D-8515-B86062E305BC}" name="Customer_Segment" dataDxfId="34"/>
    <tableColumn id="8" xr3:uid="{CB93758A-FF19-4ACC-9640-E8155AFC2B03}" name="Customer_Since" dataDxfId="33"/>
    <tableColumn id="9" xr3:uid="{5690A313-C9C2-4FEA-9933-C32B047FD69E}" name="Total_Amount" dataDxfId="32"/>
    <tableColumn id="10" xr3:uid="{6FF1A9A8-E591-4E85-80EF-19E858CD2212}" name="Month" dataDxfId="31">
      <calculatedColumnFormula>TEXT(B2,"MMM")</calculatedColumnFormula>
    </tableColumn>
    <tableColumn id="16" xr3:uid="{8BF1DD6E-7E0C-4648-8EB9-B7F4C7FA6F7E}" name="TODAY()" dataDxfId="30">
      <calculatedColumnFormula>TODAY()</calculatedColumnFormula>
    </tableColumn>
    <tableColumn id="17" xr3:uid="{2D16AF6C-73D0-476C-87B0-7BC40FCA86ED}" name="TIMESTAMP" dataDxfId="29">
      <calculatedColumnFormula>NOW()</calculatedColumnFormula>
    </tableColumn>
    <tableColumn id="18" xr3:uid="{8C0DCFD2-D581-4112-91E6-7B6089BCF631}" name="Customer Age(Years)" dataDxfId="28">
      <calculatedColumnFormula>DATEDIF(M2,TODAY(),"Y")</calculatedColumnFormula>
    </tableColumn>
    <tableColumn id="19" xr3:uid="{9AE42CC7-28D1-4E43-93BF-68A66CD1B3EA}" name="Month End Date" dataDxfId="27">
      <calculatedColumnFormula>EOMONTH(B2,0)</calculatedColumnFormula>
    </tableColumn>
    <tableColumn id="20" xr3:uid="{A0FF7BAA-E971-4A72-908F-E07351BDBA7D}" name="Total revenue" dataDxfId="26">
      <calculatedColumnFormula>SUMIF(D:D,D2,N:N)</calculatedColumnFormula>
    </tableColumn>
    <tableColumn id="21" xr3:uid="{13FC8EA6-3365-45B6-89FC-4CE1C2A71208}" name="Grade" dataDxfId="25">
      <calculatedColumnFormula>IF(T2&gt;10000,"High","Normal")</calculatedColumnFormula>
    </tableColumn>
    <tableColumn id="22" xr3:uid="{85627B55-CA62-4507-8ACC-2BEFB3BD3B76}" name="Count Frequency" dataDxfId="24">
      <calculatedColumnFormula>COUNTIF(F:F,F2)</calculatedColumnFormula>
    </tableColumn>
    <tableColumn id="23" xr3:uid="{F5FD2E30-9D64-4718-B841-8BE351EC7670}" name="Abbreviations" dataDxfId="23">
      <calculatedColumnFormula>LEFT(D2,1)&amp;"."&amp;MID(D2,FIND(" ",D2)+1,1)</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AF990A-26ED-4E35-86EB-209D93893C4C}" name="Table24" displayName="Table24" ref="H3:I8" totalsRowShown="0" headerRowDxfId="22" dataDxfId="21">
  <autoFilter ref="H3:I8" xr:uid="{36AF990A-26ED-4E35-86EB-209D93893C4C}"/>
  <tableColumns count="2">
    <tableColumn id="1" xr3:uid="{5F6C1F19-A64F-4520-B20A-6E07A195F5F8}" name="Regression Statistics" dataDxfId="20"/>
    <tableColumn id="2" xr3:uid="{FF25152D-46CB-4540-B9C6-937E9A555E17}" name="Column1"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923346-D37D-4A65-894B-1E90A9CB15C4}" name="Table469" displayName="Table469" ref="F11:K14" totalsRowShown="0" headerRowDxfId="18" dataDxfId="17">
  <autoFilter ref="F11:K14" xr:uid="{1A923346-D37D-4A65-894B-1E90A9CB15C4}"/>
  <tableColumns count="6">
    <tableColumn id="1" xr3:uid="{C2699D27-F7AD-4F7D-9107-936383F19FEF}" name="Column1" dataDxfId="16"/>
    <tableColumn id="2" xr3:uid="{C31D11E1-CF61-4046-9D6D-524385BB4ABB}" name="df" dataDxfId="15"/>
    <tableColumn id="3" xr3:uid="{5CCB2CD0-18AB-4664-BB06-B9D4467B7DD8}" name="SS" dataDxfId="14"/>
    <tableColumn id="4" xr3:uid="{5C4245CB-2F5B-47C1-8127-68BC31A74DC6}" name="MS" dataDxfId="13"/>
    <tableColumn id="5" xr3:uid="{03D6E743-BA88-42A5-BC44-719DCBFFD07D}" name="F" dataDxfId="12"/>
    <tableColumn id="6" xr3:uid="{29333D92-C815-4D81-A9BF-CC4A49241B50}" name="Significance F"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11B4CF-5D8A-4108-8C23-A4476D55299F}" name="Table71013" displayName="Table71013" ref="D17:L19" totalsRowShown="0" headerRowDxfId="10" dataDxfId="9">
  <autoFilter ref="D17:L19" xr:uid="{1C11B4CF-5D8A-4108-8C23-A4476D55299F}"/>
  <tableColumns count="9">
    <tableColumn id="1" xr3:uid="{D2FC5C6B-3B43-4A80-86B9-278C75E0E40D}" name="Column1" dataDxfId="8"/>
    <tableColumn id="2" xr3:uid="{E06B9F61-3F7D-4740-8881-DF318A8BC165}" name="Coefficients" dataDxfId="7"/>
    <tableColumn id="3" xr3:uid="{E2D440AA-7BFB-462D-8ED5-8A6B0858C416}" name="Standard Error" dataDxfId="6"/>
    <tableColumn id="4" xr3:uid="{DC6BDF0C-A40F-4431-B7DC-51DC85659FB4}" name="t Stat" dataDxfId="5"/>
    <tableColumn id="5" xr3:uid="{F1D68FEA-1F9B-4C3D-ABF3-C1B30CCBDF55}" name="P-value" dataDxfId="4"/>
    <tableColumn id="6" xr3:uid="{CDBE8EEE-7A94-44A4-983B-5E1550DB0637}" name="Lower 95%" dataDxfId="3"/>
    <tableColumn id="7" xr3:uid="{3E836E38-4C90-4B11-9CF5-87DF4450C3BB}" name="Upper 95%" dataDxfId="2"/>
    <tableColumn id="8" xr3:uid="{7CB48D33-1CE7-4E92-BCF2-2019E8EE1AF5}" name="Lower 95.0%" dataDxfId="1"/>
    <tableColumn id="9" xr3:uid="{00F46C84-3B93-499D-9363-FD57126DF7A1}" name="Upper 95.0%"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2.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O1" workbookViewId="0">
      <selection activeCell="C3" sqref="C3"/>
    </sheetView>
  </sheetViews>
  <sheetFormatPr defaultColWidth="14.44140625" defaultRowHeight="15" customHeight="1" x14ac:dyDescent="0.3"/>
  <cols>
    <col min="1" max="1" width="79.21875" customWidth="1"/>
    <col min="2" max="2" width="8" customWidth="1"/>
    <col min="3"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7F4EF-2B65-4F84-9ED9-0EA49D0FD1F7}">
  <dimension ref="B1:O60"/>
  <sheetViews>
    <sheetView tabSelected="1" workbookViewId="0">
      <selection activeCell="C19" sqref="C19"/>
    </sheetView>
  </sheetViews>
  <sheetFormatPr defaultRowHeight="14.4" x14ac:dyDescent="0.3"/>
  <cols>
    <col min="1" max="1" width="8.88671875" style="31"/>
    <col min="2" max="2" width="12.44140625" style="31" bestFit="1" customWidth="1"/>
    <col min="3" max="3" width="19" style="31" bestFit="1" customWidth="1"/>
    <col min="4" max="12" width="8.88671875" style="31"/>
    <col min="13" max="13" width="8.44140625" style="31" customWidth="1"/>
    <col min="14" max="14" width="19.77734375" style="31" bestFit="1" customWidth="1"/>
    <col min="15" max="16384" width="8.88671875" style="31"/>
  </cols>
  <sheetData>
    <row r="1" spans="2:15" x14ac:dyDescent="0.3">
      <c r="G1" s="32" t="s">
        <v>463</v>
      </c>
      <c r="H1" s="33"/>
      <c r="I1" s="33"/>
      <c r="J1" s="33"/>
      <c r="K1" s="33"/>
      <c r="L1" s="33"/>
      <c r="M1" s="33"/>
      <c r="N1" s="33"/>
      <c r="O1" s="33"/>
    </row>
    <row r="2" spans="2:15" x14ac:dyDescent="0.3">
      <c r="G2" s="33"/>
      <c r="H2" s="33"/>
      <c r="I2" s="33"/>
      <c r="J2" s="33"/>
      <c r="K2" s="33"/>
      <c r="L2" s="33"/>
      <c r="M2" s="33"/>
      <c r="N2" s="33"/>
      <c r="O2" s="33"/>
    </row>
    <row r="3" spans="2:15" x14ac:dyDescent="0.3">
      <c r="G3" s="33"/>
      <c r="H3" s="33"/>
      <c r="I3" s="33"/>
      <c r="J3" s="33"/>
      <c r="K3" s="33"/>
      <c r="L3" s="33"/>
      <c r="M3" s="33"/>
      <c r="N3" s="33"/>
      <c r="O3" s="33"/>
    </row>
    <row r="9" spans="2:15" x14ac:dyDescent="0.3">
      <c r="B9"/>
      <c r="C9"/>
    </row>
    <row r="10" spans="2:15" x14ac:dyDescent="0.3">
      <c r="B10" s="9" t="s">
        <v>405</v>
      </c>
      <c r="C10" t="s">
        <v>407</v>
      </c>
    </row>
    <row r="11" spans="2:15" x14ac:dyDescent="0.3">
      <c r="B11" s="10" t="s">
        <v>35</v>
      </c>
      <c r="C11">
        <v>739.89</v>
      </c>
    </row>
    <row r="12" spans="2:15" x14ac:dyDescent="0.3">
      <c r="B12" s="10" t="s">
        <v>21</v>
      </c>
      <c r="C12">
        <v>15709.689999999999</v>
      </c>
    </row>
    <row r="13" spans="2:15" x14ac:dyDescent="0.3">
      <c r="B13" s="10" t="s">
        <v>48</v>
      </c>
      <c r="C13">
        <v>3449.8</v>
      </c>
    </row>
    <row r="14" spans="2:15" x14ac:dyDescent="0.3">
      <c r="B14" s="10" t="s">
        <v>406</v>
      </c>
      <c r="C14">
        <v>19899.379999999997</v>
      </c>
    </row>
    <row r="15" spans="2:15" x14ac:dyDescent="0.3">
      <c r="B15"/>
      <c r="C15"/>
    </row>
    <row r="30" spans="2:14" x14ac:dyDescent="0.3">
      <c r="M30" s="9" t="s">
        <v>405</v>
      </c>
      <c r="N30" t="s">
        <v>407</v>
      </c>
    </row>
    <row r="31" spans="2:14" x14ac:dyDescent="0.3">
      <c r="B31" s="9" t="s">
        <v>405</v>
      </c>
      <c r="C31" t="s">
        <v>407</v>
      </c>
      <c r="M31" s="10" t="s">
        <v>22</v>
      </c>
      <c r="N31">
        <v>57427.790000000023</v>
      </c>
    </row>
    <row r="32" spans="2:14" x14ac:dyDescent="0.3">
      <c r="B32" s="10" t="s">
        <v>23</v>
      </c>
      <c r="C32">
        <v>41288.340000000018</v>
      </c>
      <c r="M32" s="10" t="s">
        <v>28</v>
      </c>
      <c r="N32">
        <v>61447.960000000014</v>
      </c>
    </row>
    <row r="33" spans="2:14" x14ac:dyDescent="0.3">
      <c r="B33" s="10" t="s">
        <v>65</v>
      </c>
      <c r="C33">
        <v>59288.389999999992</v>
      </c>
      <c r="M33" s="10" t="s">
        <v>59</v>
      </c>
      <c r="N33">
        <v>52118.310000000005</v>
      </c>
    </row>
    <row r="34" spans="2:14" x14ac:dyDescent="0.3">
      <c r="B34" s="10" t="s">
        <v>42</v>
      </c>
      <c r="C34">
        <v>50808.310000000012</v>
      </c>
      <c r="M34" s="10" t="s">
        <v>36</v>
      </c>
      <c r="N34">
        <v>58198.409999999996</v>
      </c>
    </row>
    <row r="35" spans="2:14" x14ac:dyDescent="0.3">
      <c r="B35" s="10" t="s">
        <v>37</v>
      </c>
      <c r="C35">
        <v>36398.750000000007</v>
      </c>
      <c r="M35" s="10" t="s">
        <v>406</v>
      </c>
      <c r="N35">
        <v>229192.47000000003</v>
      </c>
    </row>
    <row r="36" spans="2:14" x14ac:dyDescent="0.3">
      <c r="B36" s="10" t="s">
        <v>52</v>
      </c>
      <c r="C36">
        <v>41408.680000000015</v>
      </c>
    </row>
    <row r="37" spans="2:14" x14ac:dyDescent="0.3">
      <c r="B37" s="10" t="s">
        <v>406</v>
      </c>
      <c r="C37">
        <v>229192.47000000006</v>
      </c>
    </row>
    <row r="47" spans="2:14" x14ac:dyDescent="0.3">
      <c r="B47" s="9" t="s">
        <v>405</v>
      </c>
      <c r="C47" t="s">
        <v>407</v>
      </c>
      <c r="D47" s="5" t="s">
        <v>430</v>
      </c>
      <c r="E47" s="5" t="s">
        <v>431</v>
      </c>
    </row>
    <row r="48" spans="2:14" x14ac:dyDescent="0.3">
      <c r="B48" s="10" t="s">
        <v>409</v>
      </c>
      <c r="C48">
        <v>25799.15</v>
      </c>
      <c r="D48" t="str">
        <f>IFERROR((C47-C46)/C46,"-")</f>
        <v>-</v>
      </c>
      <c r="E48" s="5" t="s">
        <v>432</v>
      </c>
    </row>
    <row r="49" spans="2:5" x14ac:dyDescent="0.3">
      <c r="B49" s="10" t="s">
        <v>410</v>
      </c>
      <c r="C49">
        <v>16069.379999999997</v>
      </c>
      <c r="D49">
        <f>C49-C48</f>
        <v>-9729.7700000000041</v>
      </c>
      <c r="E49" s="21">
        <f>(C49-C48)/C48</f>
        <v>-0.37713529321702471</v>
      </c>
    </row>
    <row r="50" spans="2:5" x14ac:dyDescent="0.3">
      <c r="B50" s="10" t="s">
        <v>411</v>
      </c>
      <c r="C50">
        <v>19899.379999999997</v>
      </c>
      <c r="D50">
        <f t="shared" ref="D50:D59" si="0">C50-C49</f>
        <v>3830</v>
      </c>
      <c r="E50" s="21">
        <f t="shared" ref="E50:E59" si="1">(C50-C49)/C49</f>
        <v>0.23834149170658736</v>
      </c>
    </row>
    <row r="51" spans="2:5" x14ac:dyDescent="0.3">
      <c r="B51" s="10" t="s">
        <v>412</v>
      </c>
      <c r="C51">
        <v>27899.160000000007</v>
      </c>
      <c r="D51">
        <f t="shared" si="0"/>
        <v>7999.7800000000097</v>
      </c>
      <c r="E51" s="21">
        <f t="shared" si="1"/>
        <v>0.40201151995690371</v>
      </c>
    </row>
    <row r="52" spans="2:5" x14ac:dyDescent="0.3">
      <c r="B52" s="10" t="s">
        <v>413</v>
      </c>
      <c r="C52">
        <v>17039.349999999999</v>
      </c>
      <c r="D52">
        <f t="shared" si="0"/>
        <v>-10859.810000000009</v>
      </c>
      <c r="E52" s="21">
        <f t="shared" si="1"/>
        <v>-0.38925222121382885</v>
      </c>
    </row>
    <row r="53" spans="2:5" x14ac:dyDescent="0.3">
      <c r="B53" s="10" t="s">
        <v>414</v>
      </c>
      <c r="C53">
        <v>19299.45</v>
      </c>
      <c r="D53">
        <f t="shared" si="0"/>
        <v>2260.1000000000022</v>
      </c>
      <c r="E53" s="21">
        <f t="shared" si="1"/>
        <v>0.1326400361516139</v>
      </c>
    </row>
    <row r="54" spans="2:5" x14ac:dyDescent="0.3">
      <c r="B54" s="10" t="s">
        <v>415</v>
      </c>
      <c r="C54">
        <v>18479.399999999994</v>
      </c>
      <c r="D54">
        <f t="shared" si="0"/>
        <v>-820.05000000000655</v>
      </c>
      <c r="E54" s="21">
        <f t="shared" si="1"/>
        <v>-4.2490848184793172E-2</v>
      </c>
    </row>
    <row r="55" spans="2:5" x14ac:dyDescent="0.3">
      <c r="B55" s="10" t="s">
        <v>416</v>
      </c>
      <c r="C55">
        <v>15759.429999999997</v>
      </c>
      <c r="D55">
        <f t="shared" si="0"/>
        <v>-2719.9699999999975</v>
      </c>
      <c r="E55" s="21">
        <f t="shared" si="1"/>
        <v>-0.14718930268298747</v>
      </c>
    </row>
    <row r="56" spans="2:5" x14ac:dyDescent="0.3">
      <c r="B56" s="10" t="s">
        <v>417</v>
      </c>
      <c r="C56">
        <v>12989.509999999997</v>
      </c>
      <c r="D56">
        <f t="shared" si="0"/>
        <v>-2769.92</v>
      </c>
      <c r="E56" s="21">
        <f t="shared" si="1"/>
        <v>-0.17576270207742289</v>
      </c>
    </row>
    <row r="57" spans="2:5" x14ac:dyDescent="0.3">
      <c r="B57" s="10" t="s">
        <v>418</v>
      </c>
      <c r="C57">
        <v>20609.52</v>
      </c>
      <c r="D57">
        <f t="shared" si="0"/>
        <v>7620.0100000000039</v>
      </c>
      <c r="E57" s="21">
        <f t="shared" si="1"/>
        <v>0.58662797903847075</v>
      </c>
    </row>
    <row r="58" spans="2:5" x14ac:dyDescent="0.3">
      <c r="B58" s="10" t="s">
        <v>419</v>
      </c>
      <c r="C58">
        <v>12309.439999999999</v>
      </c>
      <c r="D58">
        <f t="shared" si="0"/>
        <v>-8300.0800000000017</v>
      </c>
      <c r="E58" s="21">
        <f t="shared" si="1"/>
        <v>-0.40273038867474842</v>
      </c>
    </row>
    <row r="59" spans="2:5" x14ac:dyDescent="0.3">
      <c r="B59" s="10" t="s">
        <v>420</v>
      </c>
      <c r="C59">
        <v>23039.3</v>
      </c>
      <c r="D59">
        <f t="shared" si="0"/>
        <v>10729.86</v>
      </c>
      <c r="E59" s="21">
        <f t="shared" si="1"/>
        <v>0.87167734681675213</v>
      </c>
    </row>
    <row r="60" spans="2:5" x14ac:dyDescent="0.3">
      <c r="B60" s="10" t="s">
        <v>406</v>
      </c>
      <c r="C60">
        <v>229192.47</v>
      </c>
      <c r="D60"/>
      <c r="E60" s="21"/>
    </row>
  </sheetData>
  <mergeCells count="1">
    <mergeCell ref="G1:O3"/>
  </mergeCells>
  <conditionalFormatting sqref="E48:E59">
    <cfRule type="iconSet" priority="1">
      <iconSet iconSet="5Arrows">
        <cfvo type="percent" val="0"/>
        <cfvo type="percent" val="20"/>
        <cfvo type="percent" val="40"/>
        <cfvo type="percent" val="60"/>
        <cfvo type="percent" val="80"/>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2" id="{C24CD001-2869-4CE5-9406-1C4EEC5FF958}">
            <x14:iconSet iconSet="3Triangles">
              <x14:cfvo type="percent">
                <xm:f>0</xm:f>
              </x14:cfvo>
              <x14:cfvo type="percent">
                <xm:f>33</xm:f>
              </x14:cfvo>
              <x14:cfvo type="percent">
                <xm:f>67</xm:f>
              </x14:cfvo>
            </x14:iconSet>
          </x14:cfRule>
          <xm:sqref>D48:D59</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000"/>
  <sheetViews>
    <sheetView topLeftCell="N1" zoomScale="97" zoomScaleNormal="100" workbookViewId="0">
      <selection activeCell="U230" sqref="U230"/>
    </sheetView>
  </sheetViews>
  <sheetFormatPr defaultColWidth="14.44140625" defaultRowHeight="15" customHeight="1" x14ac:dyDescent="0.3"/>
  <cols>
    <col min="1" max="1" width="13.6640625" customWidth="1"/>
    <col min="2" max="2" width="10.88671875" bestFit="1" customWidth="1"/>
    <col min="3" max="3" width="14.109375" bestFit="1" customWidth="1"/>
    <col min="4" max="4" width="17.44140625" bestFit="1" customWidth="1"/>
    <col min="5" max="5" width="12.6640625" bestFit="1" customWidth="1"/>
    <col min="6" max="6" width="15.5546875" customWidth="1"/>
    <col min="7" max="7" width="10.44140625" customWidth="1"/>
    <col min="8" max="8" width="10.5546875" bestFit="1" customWidth="1"/>
    <col min="9" max="9" width="11.88671875" bestFit="1" customWidth="1"/>
    <col min="10" max="10" width="18.21875" customWidth="1"/>
    <col min="11" max="11" width="8.6640625" customWidth="1"/>
    <col min="12" max="12" width="20" bestFit="1" customWidth="1"/>
    <col min="13" max="13" width="17.33203125" bestFit="1" customWidth="1"/>
    <col min="14" max="14" width="15" customWidth="1"/>
    <col min="15" max="15" width="9" bestFit="1" customWidth="1"/>
    <col min="16" max="16" width="10.88671875" bestFit="1" customWidth="1"/>
    <col min="17" max="17" width="19.6640625" bestFit="1" customWidth="1"/>
    <col min="18" max="18" width="19.77734375" bestFit="1" customWidth="1"/>
    <col min="19" max="19" width="17.109375" bestFit="1" customWidth="1"/>
    <col min="20" max="20" width="14.77734375" bestFit="1" customWidth="1"/>
    <col min="21" max="21" width="17.33203125" bestFit="1" customWidth="1"/>
    <col min="22" max="22" width="19.77734375" bestFit="1" customWidth="1"/>
    <col min="23" max="23" width="12.6640625" bestFit="1" customWidth="1"/>
    <col min="24" max="24" width="15.5546875" bestFit="1" customWidth="1"/>
    <col min="25" max="25" width="17.33203125" bestFit="1" customWidth="1"/>
    <col min="26" max="26" width="19.77734375" bestFit="1" customWidth="1"/>
    <col min="28" max="28" width="12.5546875" bestFit="1" customWidth="1"/>
    <col min="29" max="29" width="19.77734375" bestFit="1" customWidth="1"/>
  </cols>
  <sheetData>
    <row r="1" spans="1:29" ht="14.4" x14ac:dyDescent="0.3">
      <c r="A1" s="11" t="s">
        <v>2</v>
      </c>
      <c r="B1" s="11" t="s">
        <v>3</v>
      </c>
      <c r="C1" s="11" t="s">
        <v>4</v>
      </c>
      <c r="D1" s="11" t="s">
        <v>5</v>
      </c>
      <c r="E1" s="11" t="s">
        <v>6</v>
      </c>
      <c r="F1" s="11" t="s">
        <v>7</v>
      </c>
      <c r="G1" s="11" t="s">
        <v>8</v>
      </c>
      <c r="H1" s="11" t="s">
        <v>9</v>
      </c>
      <c r="I1" s="11" t="s">
        <v>10</v>
      </c>
      <c r="J1" s="11" t="s">
        <v>11</v>
      </c>
      <c r="K1" s="11" t="s">
        <v>12</v>
      </c>
      <c r="L1" s="11" t="s">
        <v>13</v>
      </c>
      <c r="M1" s="11" t="s">
        <v>14</v>
      </c>
      <c r="N1" s="11" t="s">
        <v>15</v>
      </c>
      <c r="O1" s="11" t="s">
        <v>408</v>
      </c>
      <c r="P1" s="24" t="s">
        <v>423</v>
      </c>
      <c r="Q1" s="24" t="s">
        <v>424</v>
      </c>
      <c r="R1" s="24" t="s">
        <v>425</v>
      </c>
      <c r="S1" s="24" t="s">
        <v>427</v>
      </c>
      <c r="T1" s="24" t="s">
        <v>456</v>
      </c>
      <c r="U1" s="24" t="s">
        <v>457</v>
      </c>
      <c r="V1" s="24" t="s">
        <v>458</v>
      </c>
      <c r="W1" s="5" t="s">
        <v>460</v>
      </c>
      <c r="X1" s="4"/>
      <c r="Y1" s="4"/>
      <c r="Z1" s="4"/>
    </row>
    <row r="2" spans="1:29" ht="14.4" x14ac:dyDescent="0.3">
      <c r="A2" s="11" t="s">
        <v>16</v>
      </c>
      <c r="B2" s="15">
        <v>45393</v>
      </c>
      <c r="C2" s="11" t="s">
        <v>17</v>
      </c>
      <c r="D2" s="11" t="s">
        <v>18</v>
      </c>
      <c r="E2" s="11" t="s">
        <v>19</v>
      </c>
      <c r="F2" s="11" t="s">
        <v>20</v>
      </c>
      <c r="G2" s="11" t="s">
        <v>21</v>
      </c>
      <c r="H2" s="11">
        <v>3</v>
      </c>
      <c r="I2" s="11">
        <v>149.99</v>
      </c>
      <c r="J2" s="11" t="s">
        <v>22</v>
      </c>
      <c r="K2" s="11" t="s">
        <v>23</v>
      </c>
      <c r="L2" s="11" t="s">
        <v>24</v>
      </c>
      <c r="M2" s="14">
        <v>44425</v>
      </c>
      <c r="N2" s="11">
        <v>749.97</v>
      </c>
      <c r="O2" s="11" t="str">
        <f t="shared" ref="O2:O65" si="0">TEXT(B2,"MMM")</f>
        <v>Apr</v>
      </c>
      <c r="P2" s="15">
        <f t="shared" ref="P2:P65" ca="1" si="1">TODAY()</f>
        <v>46078</v>
      </c>
      <c r="Q2" s="16">
        <f ca="1">NOW()</f>
        <v>46078.801391898145</v>
      </c>
      <c r="R2" s="6">
        <f t="shared" ref="R2:R65" ca="1" si="2">DATEDIF(M2,TODAY(),"Y")</f>
        <v>4</v>
      </c>
      <c r="S2" s="15">
        <f t="shared" ref="S2:S65" si="3">EOMONTH(B2,0)</f>
        <v>45412</v>
      </c>
      <c r="T2" s="11">
        <f t="shared" ref="T2:T65" si="4">SUMIF(D:D,D2,N:N)</f>
        <v>8309.739999999998</v>
      </c>
      <c r="U2" s="11" t="str">
        <f t="shared" ref="U2:U65" si="5">IF(T2&gt;10000,"High","Normal")</f>
        <v>Normal</v>
      </c>
      <c r="V2" s="11">
        <f t="shared" ref="V2:V65" si="6">COUNTIF(F:F,F2)</f>
        <v>26</v>
      </c>
      <c r="W2" s="6" t="str">
        <f t="shared" ref="W2:W65" si="7">LEFT(D2,1)&amp;"."&amp;MID(D2,FIND(" ",D2)+1,1)</f>
        <v>P.B</v>
      </c>
      <c r="Y2" s="37" t="s">
        <v>404</v>
      </c>
      <c r="Z2" s="37"/>
    </row>
    <row r="3" spans="1:29" ht="14.4" x14ac:dyDescent="0.3">
      <c r="A3" s="11" t="s">
        <v>25</v>
      </c>
      <c r="B3" s="15">
        <v>45396</v>
      </c>
      <c r="C3" s="11" t="s">
        <v>26</v>
      </c>
      <c r="D3" s="11" t="s">
        <v>27</v>
      </c>
      <c r="E3" s="11" t="s">
        <v>19</v>
      </c>
      <c r="F3" s="11" t="s">
        <v>20</v>
      </c>
      <c r="G3" s="11" t="s">
        <v>21</v>
      </c>
      <c r="H3" s="11">
        <v>3</v>
      </c>
      <c r="I3" s="11">
        <v>249.99</v>
      </c>
      <c r="J3" s="11" t="s">
        <v>28</v>
      </c>
      <c r="K3" s="11" t="s">
        <v>23</v>
      </c>
      <c r="L3" s="11" t="s">
        <v>29</v>
      </c>
      <c r="M3" s="14">
        <v>44575</v>
      </c>
      <c r="N3" s="11">
        <v>749.97</v>
      </c>
      <c r="O3" s="11" t="str">
        <f t="shared" si="0"/>
        <v>Apr</v>
      </c>
      <c r="P3" s="15">
        <f t="shared" ca="1" si="1"/>
        <v>46078</v>
      </c>
      <c r="Q3" s="17">
        <f t="shared" ref="Q3:Q65" ca="1" si="8">NOW()</f>
        <v>46078.801391898145</v>
      </c>
      <c r="R3" s="11">
        <f t="shared" ca="1" si="2"/>
        <v>4</v>
      </c>
      <c r="S3" s="15">
        <f t="shared" si="3"/>
        <v>45412</v>
      </c>
      <c r="T3" s="11">
        <f t="shared" si="4"/>
        <v>6949.84</v>
      </c>
      <c r="U3" s="11" t="str">
        <f t="shared" si="5"/>
        <v>Normal</v>
      </c>
      <c r="V3" s="11">
        <f t="shared" si="6"/>
        <v>26</v>
      </c>
      <c r="W3" s="6" t="str">
        <f t="shared" si="7"/>
        <v>J.J</v>
      </c>
      <c r="Y3" s="7" t="s">
        <v>401</v>
      </c>
      <c r="Z3" s="8">
        <f>SUM(N:N)</f>
        <v>229192.47000000032</v>
      </c>
    </row>
    <row r="4" spans="1:29" ht="14.4" x14ac:dyDescent="0.3">
      <c r="A4" s="11" t="s">
        <v>30</v>
      </c>
      <c r="B4" s="15">
        <v>45399</v>
      </c>
      <c r="C4" s="11" t="s">
        <v>31</v>
      </c>
      <c r="D4" s="11" t="s">
        <v>32</v>
      </c>
      <c r="E4" s="11" t="s">
        <v>33</v>
      </c>
      <c r="F4" s="11" t="s">
        <v>34</v>
      </c>
      <c r="G4" s="11" t="s">
        <v>35</v>
      </c>
      <c r="H4" s="11">
        <v>3</v>
      </c>
      <c r="I4" s="11">
        <v>59.99</v>
      </c>
      <c r="J4" s="11" t="s">
        <v>36</v>
      </c>
      <c r="K4" s="11" t="s">
        <v>37</v>
      </c>
      <c r="L4" s="11" t="s">
        <v>38</v>
      </c>
      <c r="M4" s="14">
        <v>45262</v>
      </c>
      <c r="N4" s="11">
        <v>179.97</v>
      </c>
      <c r="O4" s="11" t="str">
        <f t="shared" si="0"/>
        <v>Apr</v>
      </c>
      <c r="P4" s="15">
        <f t="shared" ca="1" si="1"/>
        <v>46078</v>
      </c>
      <c r="Q4" s="17">
        <f t="shared" ca="1" si="8"/>
        <v>46078.801391898145</v>
      </c>
      <c r="R4" s="11">
        <f t="shared" ca="1" si="2"/>
        <v>2</v>
      </c>
      <c r="S4" s="15">
        <f t="shared" si="3"/>
        <v>45412</v>
      </c>
      <c r="T4" s="11">
        <f t="shared" si="4"/>
        <v>3259.87</v>
      </c>
      <c r="U4" s="25" t="str">
        <f t="shared" si="5"/>
        <v>Normal</v>
      </c>
      <c r="V4" s="11">
        <f t="shared" si="6"/>
        <v>29</v>
      </c>
      <c r="W4" s="6" t="str">
        <f t="shared" si="7"/>
        <v>K.S</v>
      </c>
      <c r="Y4" s="7" t="s">
        <v>402</v>
      </c>
      <c r="Z4" s="8">
        <f>SUM(H:H)</f>
        <v>753</v>
      </c>
    </row>
    <row r="5" spans="1:29" ht="14.4" x14ac:dyDescent="0.3">
      <c r="A5" s="11" t="s">
        <v>39</v>
      </c>
      <c r="B5" s="15">
        <v>45400</v>
      </c>
      <c r="C5" s="11" t="s">
        <v>40</v>
      </c>
      <c r="D5" s="11" t="s">
        <v>41</v>
      </c>
      <c r="E5" s="11" t="s">
        <v>33</v>
      </c>
      <c r="F5" s="11" t="s">
        <v>34</v>
      </c>
      <c r="G5" s="11" t="s">
        <v>35</v>
      </c>
      <c r="H5" s="11">
        <v>3</v>
      </c>
      <c r="I5" s="11">
        <v>59.99</v>
      </c>
      <c r="J5" s="11" t="s">
        <v>22</v>
      </c>
      <c r="K5" s="11" t="s">
        <v>42</v>
      </c>
      <c r="L5" s="11" t="s">
        <v>29</v>
      </c>
      <c r="M5" s="14">
        <v>45114</v>
      </c>
      <c r="N5" s="11">
        <v>179.97</v>
      </c>
      <c r="O5" s="11" t="str">
        <f t="shared" si="0"/>
        <v>Apr</v>
      </c>
      <c r="P5" s="15">
        <f t="shared" ca="1" si="1"/>
        <v>46078</v>
      </c>
      <c r="Q5" s="17">
        <f t="shared" ca="1" si="8"/>
        <v>46078.801391898145</v>
      </c>
      <c r="R5" s="11">
        <f t="shared" ca="1" si="2"/>
        <v>2</v>
      </c>
      <c r="S5" s="15">
        <f t="shared" si="3"/>
        <v>45412</v>
      </c>
      <c r="T5" s="11">
        <f t="shared" si="4"/>
        <v>4309.8099999999995</v>
      </c>
      <c r="U5" s="25" t="str">
        <f t="shared" si="5"/>
        <v>Normal</v>
      </c>
      <c r="V5" s="11">
        <f t="shared" si="6"/>
        <v>29</v>
      </c>
      <c r="W5" s="6" t="str">
        <f t="shared" si="7"/>
        <v>K.B</v>
      </c>
      <c r="Y5" s="7" t="s">
        <v>403</v>
      </c>
      <c r="Z5" s="8">
        <f>AVERAGE(N:N)</f>
        <v>916.76988000000131</v>
      </c>
    </row>
    <row r="6" spans="1:29" ht="14.4" x14ac:dyDescent="0.3">
      <c r="A6" s="11" t="s">
        <v>43</v>
      </c>
      <c r="B6" s="15">
        <v>45400</v>
      </c>
      <c r="C6" s="11" t="s">
        <v>44</v>
      </c>
      <c r="D6" s="11" t="s">
        <v>45</v>
      </c>
      <c r="E6" s="11" t="s">
        <v>46</v>
      </c>
      <c r="F6" s="11" t="s">
        <v>47</v>
      </c>
      <c r="G6" s="11" t="s">
        <v>48</v>
      </c>
      <c r="H6" s="11">
        <v>5</v>
      </c>
      <c r="I6" s="11">
        <v>149.99</v>
      </c>
      <c r="J6" s="11" t="s">
        <v>28</v>
      </c>
      <c r="K6" s="11" t="s">
        <v>42</v>
      </c>
      <c r="L6" s="11" t="s">
        <v>29</v>
      </c>
      <c r="M6" s="14">
        <v>45295</v>
      </c>
      <c r="N6" s="11">
        <v>749.95</v>
      </c>
      <c r="O6" s="11" t="str">
        <f t="shared" si="0"/>
        <v>Apr</v>
      </c>
      <c r="P6" s="15">
        <f t="shared" ca="1" si="1"/>
        <v>46078</v>
      </c>
      <c r="Q6" s="17">
        <f t="shared" ca="1" si="8"/>
        <v>46078.801391898145</v>
      </c>
      <c r="R6" s="11">
        <f t="shared" ca="1" si="2"/>
        <v>2</v>
      </c>
      <c r="S6" s="15">
        <f t="shared" si="3"/>
        <v>45412</v>
      </c>
      <c r="T6" s="11">
        <f t="shared" si="4"/>
        <v>6169.7400000000007</v>
      </c>
      <c r="U6" s="25" t="str">
        <f t="shared" si="5"/>
        <v>Normal</v>
      </c>
      <c r="V6" s="11">
        <f t="shared" si="6"/>
        <v>35</v>
      </c>
      <c r="W6" s="6" t="str">
        <f t="shared" si="7"/>
        <v>M.B</v>
      </c>
      <c r="Y6" s="7" t="s">
        <v>459</v>
      </c>
      <c r="Z6" s="8">
        <f>MAX(V:V)</f>
        <v>35</v>
      </c>
    </row>
    <row r="7" spans="1:29" ht="14.4" x14ac:dyDescent="0.3">
      <c r="A7" s="11" t="s">
        <v>49</v>
      </c>
      <c r="B7" s="15">
        <v>45403</v>
      </c>
      <c r="C7" s="11" t="s">
        <v>50</v>
      </c>
      <c r="D7" s="11" t="s">
        <v>51</v>
      </c>
      <c r="E7" s="11" t="s">
        <v>33</v>
      </c>
      <c r="F7" s="11" t="s">
        <v>34</v>
      </c>
      <c r="G7" s="11" t="s">
        <v>35</v>
      </c>
      <c r="H7" s="11">
        <v>2</v>
      </c>
      <c r="I7" s="11">
        <v>59.99</v>
      </c>
      <c r="J7" s="11" t="s">
        <v>22</v>
      </c>
      <c r="K7" s="11" t="s">
        <v>52</v>
      </c>
      <c r="L7" s="11" t="s">
        <v>38</v>
      </c>
      <c r="M7" s="14">
        <v>44746</v>
      </c>
      <c r="N7" s="11">
        <v>119.98</v>
      </c>
      <c r="O7" s="11" t="str">
        <f t="shared" si="0"/>
        <v>Apr</v>
      </c>
      <c r="P7" s="15">
        <f t="shared" ca="1" si="1"/>
        <v>46078</v>
      </c>
      <c r="Q7" s="18">
        <f t="shared" ca="1" si="8"/>
        <v>46078.801391898145</v>
      </c>
      <c r="R7" s="11">
        <f t="shared" ca="1" si="2"/>
        <v>3</v>
      </c>
      <c r="S7" s="15">
        <f t="shared" si="3"/>
        <v>45412</v>
      </c>
      <c r="T7" s="11">
        <f t="shared" si="4"/>
        <v>8269.7900000000009</v>
      </c>
      <c r="U7" s="25" t="str">
        <f t="shared" si="5"/>
        <v>Normal</v>
      </c>
      <c r="V7" s="11">
        <f t="shared" si="6"/>
        <v>29</v>
      </c>
      <c r="W7" s="6" t="str">
        <f t="shared" si="7"/>
        <v>D.N</v>
      </c>
      <c r="Y7" s="7" t="s">
        <v>461</v>
      </c>
      <c r="Z7" s="8">
        <f>COUNTA(_xlfn.UNIQUE(A:A))</f>
        <v>252</v>
      </c>
    </row>
    <row r="8" spans="1:29" ht="14.4" x14ac:dyDescent="0.3">
      <c r="A8" s="11" t="s">
        <v>53</v>
      </c>
      <c r="B8" s="15">
        <v>45403</v>
      </c>
      <c r="C8" s="11" t="s">
        <v>50</v>
      </c>
      <c r="D8" s="11" t="s">
        <v>51</v>
      </c>
      <c r="E8" s="11" t="s">
        <v>54</v>
      </c>
      <c r="F8" s="11" t="s">
        <v>55</v>
      </c>
      <c r="G8" s="11" t="s">
        <v>21</v>
      </c>
      <c r="H8" s="11">
        <v>5</v>
      </c>
      <c r="I8" s="11">
        <v>149.99</v>
      </c>
      <c r="J8" s="11" t="s">
        <v>28</v>
      </c>
      <c r="K8" s="11" t="s">
        <v>23</v>
      </c>
      <c r="L8" s="11" t="s">
        <v>38</v>
      </c>
      <c r="M8" s="14">
        <v>44418</v>
      </c>
      <c r="N8" s="11">
        <v>749.95</v>
      </c>
      <c r="O8" s="11" t="str">
        <f t="shared" si="0"/>
        <v>Apr</v>
      </c>
      <c r="P8" s="15">
        <f t="shared" ca="1" si="1"/>
        <v>46078</v>
      </c>
      <c r="Q8" s="18">
        <f t="shared" ca="1" si="8"/>
        <v>46078.801391898145</v>
      </c>
      <c r="R8" s="11">
        <f t="shared" ca="1" si="2"/>
        <v>4</v>
      </c>
      <c r="S8" s="15">
        <f t="shared" si="3"/>
        <v>45412</v>
      </c>
      <c r="T8" s="11">
        <f t="shared" si="4"/>
        <v>8269.7900000000009</v>
      </c>
      <c r="U8" s="25" t="str">
        <f t="shared" si="5"/>
        <v>Normal</v>
      </c>
      <c r="V8" s="11">
        <f t="shared" si="6"/>
        <v>16</v>
      </c>
      <c r="W8" s="6" t="str">
        <f t="shared" si="7"/>
        <v>D.N</v>
      </c>
      <c r="Y8" s="7" t="s">
        <v>462</v>
      </c>
      <c r="Z8" s="8">
        <f>COUNTA(_xlfn.UNIQUE(C:C))</f>
        <v>52</v>
      </c>
      <c r="AB8" s="35" t="s">
        <v>422</v>
      </c>
      <c r="AC8" s="35"/>
    </row>
    <row r="9" spans="1:29" ht="14.4" x14ac:dyDescent="0.3">
      <c r="A9" s="11" t="s">
        <v>56</v>
      </c>
      <c r="B9" s="15">
        <v>45403</v>
      </c>
      <c r="C9" s="11" t="s">
        <v>57</v>
      </c>
      <c r="D9" s="11" t="s">
        <v>58</v>
      </c>
      <c r="E9" s="11" t="s">
        <v>33</v>
      </c>
      <c r="F9" s="11" t="s">
        <v>34</v>
      </c>
      <c r="G9" s="11" t="s">
        <v>35</v>
      </c>
      <c r="H9" s="11">
        <v>3</v>
      </c>
      <c r="I9" s="11">
        <v>59.99</v>
      </c>
      <c r="J9" s="11" t="s">
        <v>59</v>
      </c>
      <c r="K9" s="11" t="s">
        <v>37</v>
      </c>
      <c r="L9" s="11" t="s">
        <v>24</v>
      </c>
      <c r="M9" s="14">
        <v>45007</v>
      </c>
      <c r="N9" s="11">
        <v>179.97</v>
      </c>
      <c r="O9" s="11" t="str">
        <f t="shared" si="0"/>
        <v>Apr</v>
      </c>
      <c r="P9" s="15">
        <f t="shared" ca="1" si="1"/>
        <v>46078</v>
      </c>
      <c r="Q9" s="18">
        <f t="shared" ca="1" si="8"/>
        <v>46078.801391898145</v>
      </c>
      <c r="R9" s="11">
        <f t="shared" ca="1" si="2"/>
        <v>2</v>
      </c>
      <c r="S9" s="15">
        <f t="shared" si="3"/>
        <v>45412</v>
      </c>
      <c r="T9" s="11">
        <f t="shared" si="4"/>
        <v>5089.7300000000005</v>
      </c>
      <c r="U9" s="25" t="str">
        <f t="shared" si="5"/>
        <v>Normal</v>
      </c>
      <c r="V9" s="11">
        <f t="shared" si="6"/>
        <v>29</v>
      </c>
      <c r="W9" s="6" t="str">
        <f t="shared" si="7"/>
        <v>C.A</v>
      </c>
      <c r="AB9" s="35"/>
      <c r="AC9" s="35"/>
    </row>
    <row r="10" spans="1:29" ht="14.4" x14ac:dyDescent="0.3">
      <c r="A10" s="11" t="s">
        <v>60</v>
      </c>
      <c r="B10" s="15">
        <v>45405</v>
      </c>
      <c r="C10" s="11" t="s">
        <v>61</v>
      </c>
      <c r="D10" s="11" t="s">
        <v>62</v>
      </c>
      <c r="E10" s="11" t="s">
        <v>63</v>
      </c>
      <c r="F10" s="11" t="s">
        <v>64</v>
      </c>
      <c r="G10" s="11" t="s">
        <v>21</v>
      </c>
      <c r="H10" s="11">
        <v>3</v>
      </c>
      <c r="I10" s="11">
        <v>899.99</v>
      </c>
      <c r="J10" s="11" t="s">
        <v>36</v>
      </c>
      <c r="K10" s="11" t="s">
        <v>65</v>
      </c>
      <c r="L10" s="11" t="s">
        <v>38</v>
      </c>
      <c r="M10" s="14">
        <v>45299</v>
      </c>
      <c r="N10" s="11">
        <v>2699.97</v>
      </c>
      <c r="O10" s="11" t="str">
        <f t="shared" si="0"/>
        <v>Apr</v>
      </c>
      <c r="P10" s="15">
        <f t="shared" ca="1" si="1"/>
        <v>46078</v>
      </c>
      <c r="Q10" s="18">
        <f t="shared" ca="1" si="8"/>
        <v>46078.801391898145</v>
      </c>
      <c r="R10" s="11">
        <f t="shared" ca="1" si="2"/>
        <v>2</v>
      </c>
      <c r="S10" s="15">
        <f t="shared" si="3"/>
        <v>45412</v>
      </c>
      <c r="T10" s="11">
        <f t="shared" si="4"/>
        <v>3509.8999999999996</v>
      </c>
      <c r="U10" s="25" t="str">
        <f t="shared" si="5"/>
        <v>Normal</v>
      </c>
      <c r="V10" s="11">
        <f t="shared" si="6"/>
        <v>24</v>
      </c>
      <c r="W10" s="6" t="str">
        <f t="shared" si="7"/>
        <v>R.T</v>
      </c>
      <c r="Y10" s="35" t="s">
        <v>421</v>
      </c>
      <c r="Z10" s="36"/>
      <c r="AB10" s="12" t="s">
        <v>405</v>
      </c>
      <c r="AC10" s="8" t="s">
        <v>407</v>
      </c>
    </row>
    <row r="11" spans="1:29" ht="14.4" x14ac:dyDescent="0.3">
      <c r="A11" s="11" t="s">
        <v>66</v>
      </c>
      <c r="B11" s="15">
        <v>45408</v>
      </c>
      <c r="C11" s="11" t="s">
        <v>67</v>
      </c>
      <c r="D11" s="11" t="s">
        <v>68</v>
      </c>
      <c r="E11" s="11" t="s">
        <v>33</v>
      </c>
      <c r="F11" s="11" t="s">
        <v>34</v>
      </c>
      <c r="G11" s="11" t="s">
        <v>35</v>
      </c>
      <c r="H11" s="11">
        <v>3</v>
      </c>
      <c r="I11" s="11">
        <v>59.99</v>
      </c>
      <c r="J11" s="11" t="s">
        <v>22</v>
      </c>
      <c r="K11" s="11" t="s">
        <v>52</v>
      </c>
      <c r="L11" s="11" t="s">
        <v>29</v>
      </c>
      <c r="M11" s="14">
        <v>45207</v>
      </c>
      <c r="N11" s="11">
        <v>179.97</v>
      </c>
      <c r="O11" s="11" t="str">
        <f t="shared" si="0"/>
        <v>Apr</v>
      </c>
      <c r="P11" s="15">
        <f t="shared" ca="1" si="1"/>
        <v>46078</v>
      </c>
      <c r="Q11" s="18">
        <f t="shared" ca="1" si="8"/>
        <v>46078.801391898145</v>
      </c>
      <c r="R11" s="11">
        <f t="shared" ca="1" si="2"/>
        <v>2</v>
      </c>
      <c r="S11" s="15">
        <f t="shared" si="3"/>
        <v>45412</v>
      </c>
      <c r="T11" s="11">
        <f t="shared" si="4"/>
        <v>8009.7699999999995</v>
      </c>
      <c r="U11" s="25" t="str">
        <f t="shared" si="5"/>
        <v>Normal</v>
      </c>
      <c r="V11" s="11">
        <f t="shared" si="6"/>
        <v>29</v>
      </c>
      <c r="W11" s="6" t="str">
        <f t="shared" si="7"/>
        <v>K.H</v>
      </c>
      <c r="Y11" s="36"/>
      <c r="Z11" s="36"/>
      <c r="AB11" s="13" t="s">
        <v>24</v>
      </c>
      <c r="AC11" s="8">
        <v>62177.810000000019</v>
      </c>
    </row>
    <row r="12" spans="1:29" ht="14.4" customHeight="1" x14ac:dyDescent="0.3">
      <c r="A12" s="11" t="s">
        <v>69</v>
      </c>
      <c r="B12" s="15">
        <v>45408</v>
      </c>
      <c r="C12" s="11" t="s">
        <v>70</v>
      </c>
      <c r="D12" s="11" t="s">
        <v>71</v>
      </c>
      <c r="E12" s="11" t="s">
        <v>46</v>
      </c>
      <c r="F12" s="11" t="s">
        <v>47</v>
      </c>
      <c r="G12" s="11" t="s">
        <v>48</v>
      </c>
      <c r="H12" s="11">
        <v>1</v>
      </c>
      <c r="I12" s="11">
        <v>149.99</v>
      </c>
      <c r="J12" s="11" t="s">
        <v>28</v>
      </c>
      <c r="K12" s="11" t="s">
        <v>52</v>
      </c>
      <c r="L12" s="11" t="s">
        <v>38</v>
      </c>
      <c r="M12" s="14">
        <v>45103</v>
      </c>
      <c r="N12" s="11">
        <v>149.99</v>
      </c>
      <c r="O12" s="11" t="str">
        <f t="shared" si="0"/>
        <v>Apr</v>
      </c>
      <c r="P12" s="15">
        <f t="shared" ca="1" si="1"/>
        <v>46078</v>
      </c>
      <c r="Q12" s="19">
        <f t="shared" ca="1" si="8"/>
        <v>46078.801391898145</v>
      </c>
      <c r="R12" s="11">
        <f t="shared" ca="1" si="2"/>
        <v>2</v>
      </c>
      <c r="S12" s="15">
        <f t="shared" si="3"/>
        <v>45412</v>
      </c>
      <c r="T12" s="11">
        <f t="shared" si="4"/>
        <v>1979.89</v>
      </c>
      <c r="U12" s="26" t="str">
        <f t="shared" si="5"/>
        <v>Normal</v>
      </c>
      <c r="V12" s="26">
        <f t="shared" si="6"/>
        <v>35</v>
      </c>
      <c r="W12" s="6" t="str">
        <f t="shared" si="7"/>
        <v>S.G</v>
      </c>
      <c r="Y12" s="12" t="s">
        <v>405</v>
      </c>
      <c r="Z12" s="8" t="s">
        <v>407</v>
      </c>
      <c r="AB12" s="13" t="s">
        <v>29</v>
      </c>
      <c r="AC12" s="8">
        <v>84657.12000000001</v>
      </c>
    </row>
    <row r="13" spans="1:29" ht="14.4" customHeight="1" x14ac:dyDescent="0.3">
      <c r="A13" s="11" t="s">
        <v>72</v>
      </c>
      <c r="B13" s="15">
        <v>45408</v>
      </c>
      <c r="C13" s="11" t="s">
        <v>40</v>
      </c>
      <c r="D13" s="11" t="s">
        <v>41</v>
      </c>
      <c r="E13" s="11" t="s">
        <v>46</v>
      </c>
      <c r="F13" s="11" t="s">
        <v>47</v>
      </c>
      <c r="G13" s="11" t="s">
        <v>48</v>
      </c>
      <c r="H13" s="11">
        <v>5</v>
      </c>
      <c r="I13" s="11">
        <v>149.99</v>
      </c>
      <c r="J13" s="11" t="s">
        <v>59</v>
      </c>
      <c r="K13" s="11" t="s">
        <v>42</v>
      </c>
      <c r="L13" s="11" t="s">
        <v>24</v>
      </c>
      <c r="M13" s="14">
        <v>44830</v>
      </c>
      <c r="N13" s="11">
        <v>749.95</v>
      </c>
      <c r="O13" s="11" t="str">
        <f t="shared" si="0"/>
        <v>Apr</v>
      </c>
      <c r="P13" s="15">
        <f t="shared" ca="1" si="1"/>
        <v>46078</v>
      </c>
      <c r="Q13" s="18">
        <f t="shared" ca="1" si="8"/>
        <v>46078.801391898145</v>
      </c>
      <c r="R13" s="11">
        <f t="shared" ca="1" si="2"/>
        <v>3</v>
      </c>
      <c r="S13" s="15">
        <f t="shared" si="3"/>
        <v>45412</v>
      </c>
      <c r="T13" s="11">
        <f t="shared" si="4"/>
        <v>4309.8099999999995</v>
      </c>
      <c r="U13" s="26" t="str">
        <f t="shared" si="5"/>
        <v>Normal</v>
      </c>
      <c r="V13" s="26">
        <f t="shared" si="6"/>
        <v>35</v>
      </c>
      <c r="W13" s="6" t="str">
        <f t="shared" si="7"/>
        <v>K.B</v>
      </c>
      <c r="Y13" s="13" t="s">
        <v>89</v>
      </c>
      <c r="Z13" s="8">
        <v>15659.65</v>
      </c>
      <c r="AB13" s="13" t="s">
        <v>38</v>
      </c>
      <c r="AC13" s="8">
        <v>82357.540000000037</v>
      </c>
    </row>
    <row r="14" spans="1:29" ht="14.4" x14ac:dyDescent="0.3">
      <c r="A14" s="11" t="s">
        <v>73</v>
      </c>
      <c r="B14" s="15">
        <v>45408</v>
      </c>
      <c r="C14" s="11" t="s">
        <v>74</v>
      </c>
      <c r="D14" s="11" t="s">
        <v>75</v>
      </c>
      <c r="E14" s="11" t="s">
        <v>46</v>
      </c>
      <c r="F14" s="11" t="s">
        <v>47</v>
      </c>
      <c r="G14" s="11" t="s">
        <v>48</v>
      </c>
      <c r="H14" s="11">
        <v>3</v>
      </c>
      <c r="I14" s="11">
        <v>149.99</v>
      </c>
      <c r="J14" s="11" t="s">
        <v>22</v>
      </c>
      <c r="K14" s="11" t="s">
        <v>42</v>
      </c>
      <c r="L14" s="11" t="s">
        <v>29</v>
      </c>
      <c r="M14" s="14">
        <v>44806</v>
      </c>
      <c r="N14" s="11">
        <v>449.97</v>
      </c>
      <c r="O14" s="11" t="str">
        <f t="shared" si="0"/>
        <v>Apr</v>
      </c>
      <c r="P14" s="15">
        <f t="shared" ca="1" si="1"/>
        <v>46078</v>
      </c>
      <c r="Q14" s="18">
        <f t="shared" ca="1" si="8"/>
        <v>46078.801391898145</v>
      </c>
      <c r="R14" s="11">
        <f t="shared" ca="1" si="2"/>
        <v>3</v>
      </c>
      <c r="S14" s="15">
        <f t="shared" si="3"/>
        <v>45412</v>
      </c>
      <c r="T14" s="11">
        <f t="shared" si="4"/>
        <v>5949.85</v>
      </c>
      <c r="U14" s="11" t="str">
        <f t="shared" si="5"/>
        <v>Normal</v>
      </c>
      <c r="V14" s="11">
        <f t="shared" si="6"/>
        <v>35</v>
      </c>
      <c r="W14" s="6" t="str">
        <f t="shared" si="7"/>
        <v>P.R</v>
      </c>
      <c r="Y14" s="13" t="s">
        <v>126</v>
      </c>
      <c r="Z14" s="8">
        <v>11919.769999999999</v>
      </c>
      <c r="AB14" s="13" t="s">
        <v>406</v>
      </c>
      <c r="AC14" s="8">
        <v>229192.47000000006</v>
      </c>
    </row>
    <row r="15" spans="1:29" ht="14.4" x14ac:dyDescent="0.3">
      <c r="A15" s="11" t="s">
        <v>76</v>
      </c>
      <c r="B15" s="15">
        <v>45409</v>
      </c>
      <c r="C15" s="11" t="s">
        <v>77</v>
      </c>
      <c r="D15" s="11" t="s">
        <v>78</v>
      </c>
      <c r="E15" s="11" t="s">
        <v>33</v>
      </c>
      <c r="F15" s="11" t="s">
        <v>34</v>
      </c>
      <c r="G15" s="11" t="s">
        <v>35</v>
      </c>
      <c r="H15" s="11">
        <v>3</v>
      </c>
      <c r="I15" s="11">
        <v>59.99</v>
      </c>
      <c r="J15" s="11" t="s">
        <v>28</v>
      </c>
      <c r="K15" s="11" t="s">
        <v>42</v>
      </c>
      <c r="L15" s="11" t="s">
        <v>38</v>
      </c>
      <c r="M15" s="14">
        <v>45351</v>
      </c>
      <c r="N15" s="11">
        <v>179.97</v>
      </c>
      <c r="O15" s="11" t="str">
        <f t="shared" si="0"/>
        <v>Apr</v>
      </c>
      <c r="P15" s="15">
        <f t="shared" ca="1" si="1"/>
        <v>46078</v>
      </c>
      <c r="Q15" s="18">
        <f t="shared" ca="1" si="8"/>
        <v>46078.801391898145</v>
      </c>
      <c r="R15" s="11">
        <f t="shared" ca="1" si="2"/>
        <v>1</v>
      </c>
      <c r="S15" s="15">
        <f t="shared" si="3"/>
        <v>45412</v>
      </c>
      <c r="T15" s="11">
        <f t="shared" si="4"/>
        <v>479.91999999999996</v>
      </c>
      <c r="U15" s="11" t="str">
        <f t="shared" si="5"/>
        <v>Normal</v>
      </c>
      <c r="V15" s="11">
        <f t="shared" si="6"/>
        <v>29</v>
      </c>
      <c r="W15" s="6" t="str">
        <f t="shared" si="7"/>
        <v>D.G</v>
      </c>
      <c r="Y15" s="13" t="s">
        <v>99</v>
      </c>
      <c r="Z15" s="8">
        <v>10649.8</v>
      </c>
    </row>
    <row r="16" spans="1:29" ht="14.4" x14ac:dyDescent="0.3">
      <c r="A16" s="11" t="s">
        <v>79</v>
      </c>
      <c r="B16" s="15">
        <v>45409</v>
      </c>
      <c r="C16" s="11" t="s">
        <v>80</v>
      </c>
      <c r="D16" s="11" t="s">
        <v>81</v>
      </c>
      <c r="E16" s="11" t="s">
        <v>82</v>
      </c>
      <c r="F16" s="11" t="s">
        <v>83</v>
      </c>
      <c r="G16" s="11" t="s">
        <v>21</v>
      </c>
      <c r="H16" s="11">
        <v>3</v>
      </c>
      <c r="I16" s="11">
        <v>699.99</v>
      </c>
      <c r="J16" s="11" t="s">
        <v>28</v>
      </c>
      <c r="K16" s="11" t="s">
        <v>52</v>
      </c>
      <c r="L16" s="11" t="s">
        <v>24</v>
      </c>
      <c r="M16" s="14">
        <v>44577</v>
      </c>
      <c r="N16" s="11">
        <v>2099.9699999999998</v>
      </c>
      <c r="O16" s="11" t="str">
        <f t="shared" si="0"/>
        <v>Apr</v>
      </c>
      <c r="P16" s="15">
        <f t="shared" ca="1" si="1"/>
        <v>46078</v>
      </c>
      <c r="Q16" s="18">
        <f t="shared" ca="1" si="8"/>
        <v>46078.801391898145</v>
      </c>
      <c r="R16" s="11">
        <f t="shared" ca="1" si="2"/>
        <v>4</v>
      </c>
      <c r="S16" s="15">
        <f t="shared" si="3"/>
        <v>45412</v>
      </c>
      <c r="T16" s="11">
        <f t="shared" si="4"/>
        <v>4199.9399999999996</v>
      </c>
      <c r="U16" s="11" t="str">
        <f t="shared" si="5"/>
        <v>Normal</v>
      </c>
      <c r="V16" s="11">
        <f t="shared" si="6"/>
        <v>31</v>
      </c>
      <c r="W16" s="6" t="str">
        <f t="shared" si="7"/>
        <v>M.R</v>
      </c>
      <c r="Y16" s="13" t="s">
        <v>102</v>
      </c>
      <c r="Z16" s="8">
        <v>9799.73</v>
      </c>
    </row>
    <row r="17" spans="1:26" ht="14.4" x14ac:dyDescent="0.3">
      <c r="A17" s="11" t="s">
        <v>84</v>
      </c>
      <c r="B17" s="15">
        <v>45409</v>
      </c>
      <c r="C17" s="11" t="s">
        <v>85</v>
      </c>
      <c r="D17" s="11" t="s">
        <v>86</v>
      </c>
      <c r="E17" s="11" t="s">
        <v>63</v>
      </c>
      <c r="F17" s="11" t="s">
        <v>64</v>
      </c>
      <c r="G17" s="11" t="s">
        <v>21</v>
      </c>
      <c r="H17" s="11">
        <v>1</v>
      </c>
      <c r="I17" s="11">
        <v>899.99</v>
      </c>
      <c r="J17" s="11" t="s">
        <v>59</v>
      </c>
      <c r="K17" s="11" t="s">
        <v>42</v>
      </c>
      <c r="L17" s="11" t="s">
        <v>38</v>
      </c>
      <c r="M17" s="14">
        <v>44920</v>
      </c>
      <c r="N17" s="11">
        <v>899.99</v>
      </c>
      <c r="O17" s="11" t="str">
        <f t="shared" si="0"/>
        <v>Apr</v>
      </c>
      <c r="P17" s="15">
        <f t="shared" ca="1" si="1"/>
        <v>46078</v>
      </c>
      <c r="Q17" s="18">
        <f t="shared" ca="1" si="8"/>
        <v>46078.801391898145</v>
      </c>
      <c r="R17" s="11">
        <f t="shared" ca="1" si="2"/>
        <v>3</v>
      </c>
      <c r="S17" s="15">
        <f t="shared" si="3"/>
        <v>45412</v>
      </c>
      <c r="T17" s="11">
        <f t="shared" si="4"/>
        <v>3779.93</v>
      </c>
      <c r="U17" s="11" t="str">
        <f t="shared" si="5"/>
        <v>Normal</v>
      </c>
      <c r="V17" s="11">
        <f t="shared" si="6"/>
        <v>24</v>
      </c>
      <c r="W17" s="6" t="str">
        <f t="shared" si="7"/>
        <v>G.A</v>
      </c>
      <c r="Y17" s="13" t="s">
        <v>18</v>
      </c>
      <c r="Z17" s="8">
        <v>8309.739999999998</v>
      </c>
    </row>
    <row r="18" spans="1:26" ht="14.4" x14ac:dyDescent="0.3">
      <c r="A18" s="11" t="s">
        <v>87</v>
      </c>
      <c r="B18" s="15">
        <v>45410</v>
      </c>
      <c r="C18" s="11" t="s">
        <v>88</v>
      </c>
      <c r="D18" s="11" t="s">
        <v>89</v>
      </c>
      <c r="E18" s="11" t="s">
        <v>46</v>
      </c>
      <c r="F18" s="11" t="s">
        <v>47</v>
      </c>
      <c r="G18" s="11" t="s">
        <v>48</v>
      </c>
      <c r="H18" s="11">
        <v>4</v>
      </c>
      <c r="I18" s="11">
        <v>149.99</v>
      </c>
      <c r="J18" s="11" t="s">
        <v>59</v>
      </c>
      <c r="K18" s="11" t="s">
        <v>42</v>
      </c>
      <c r="L18" s="11" t="s">
        <v>29</v>
      </c>
      <c r="M18" s="14">
        <v>45374</v>
      </c>
      <c r="N18" s="11">
        <v>599.96</v>
      </c>
      <c r="O18" s="11" t="str">
        <f t="shared" si="0"/>
        <v>Apr</v>
      </c>
      <c r="P18" s="15">
        <f t="shared" ca="1" si="1"/>
        <v>46078</v>
      </c>
      <c r="Q18" s="18">
        <f t="shared" ca="1" si="8"/>
        <v>46078.801391898145</v>
      </c>
      <c r="R18" s="11">
        <f t="shared" ca="1" si="2"/>
        <v>1</v>
      </c>
      <c r="S18" s="15">
        <f t="shared" si="3"/>
        <v>45412</v>
      </c>
      <c r="T18" s="11">
        <f t="shared" si="4"/>
        <v>15659.65</v>
      </c>
      <c r="U18" s="11" t="str">
        <f t="shared" si="5"/>
        <v>High</v>
      </c>
      <c r="V18" s="11">
        <f t="shared" si="6"/>
        <v>35</v>
      </c>
      <c r="W18" s="6" t="str">
        <f t="shared" si="7"/>
        <v>M.C</v>
      </c>
      <c r="Y18" s="13" t="s">
        <v>51</v>
      </c>
      <c r="Z18" s="8">
        <v>8269.7900000000009</v>
      </c>
    </row>
    <row r="19" spans="1:26" ht="14.4" x14ac:dyDescent="0.3">
      <c r="A19" s="11" t="s">
        <v>90</v>
      </c>
      <c r="B19" s="15">
        <v>45410</v>
      </c>
      <c r="C19" s="11" t="s">
        <v>91</v>
      </c>
      <c r="D19" s="11" t="s">
        <v>92</v>
      </c>
      <c r="E19" s="11" t="s">
        <v>82</v>
      </c>
      <c r="F19" s="11" t="s">
        <v>83</v>
      </c>
      <c r="G19" s="11" t="s">
        <v>21</v>
      </c>
      <c r="H19" s="11">
        <v>2</v>
      </c>
      <c r="I19" s="11">
        <v>699.99</v>
      </c>
      <c r="J19" s="11" t="s">
        <v>22</v>
      </c>
      <c r="K19" s="11" t="s">
        <v>42</v>
      </c>
      <c r="L19" s="11" t="s">
        <v>24</v>
      </c>
      <c r="M19" s="14">
        <v>44781</v>
      </c>
      <c r="N19" s="11">
        <v>1399.98</v>
      </c>
      <c r="O19" s="11" t="str">
        <f t="shared" si="0"/>
        <v>Apr</v>
      </c>
      <c r="P19" s="15">
        <f t="shared" ca="1" si="1"/>
        <v>46078</v>
      </c>
      <c r="Q19" s="18">
        <f t="shared" ca="1" si="8"/>
        <v>46078.801391898145</v>
      </c>
      <c r="R19" s="11">
        <f t="shared" ca="1" si="2"/>
        <v>3</v>
      </c>
      <c r="S19" s="15">
        <f t="shared" si="3"/>
        <v>45412</v>
      </c>
      <c r="T19" s="11">
        <f t="shared" si="4"/>
        <v>1909.93</v>
      </c>
      <c r="U19" s="11" t="str">
        <f t="shared" si="5"/>
        <v>Normal</v>
      </c>
      <c r="V19" s="11">
        <f t="shared" si="6"/>
        <v>31</v>
      </c>
      <c r="W19" s="6" t="str">
        <f t="shared" si="7"/>
        <v>M.G</v>
      </c>
      <c r="Y19" s="13" t="s">
        <v>68</v>
      </c>
      <c r="Z19" s="8">
        <v>8009.7699999999995</v>
      </c>
    </row>
    <row r="20" spans="1:26" ht="14.4" x14ac:dyDescent="0.3">
      <c r="A20" s="11" t="s">
        <v>93</v>
      </c>
      <c r="B20" s="15">
        <v>45410</v>
      </c>
      <c r="C20" s="11" t="s">
        <v>88</v>
      </c>
      <c r="D20" s="11" t="s">
        <v>89</v>
      </c>
      <c r="E20" s="11" t="s">
        <v>63</v>
      </c>
      <c r="F20" s="11" t="s">
        <v>64</v>
      </c>
      <c r="G20" s="11" t="s">
        <v>21</v>
      </c>
      <c r="H20" s="11">
        <v>4</v>
      </c>
      <c r="I20" s="11">
        <v>899.99</v>
      </c>
      <c r="J20" s="11" t="s">
        <v>28</v>
      </c>
      <c r="K20" s="11" t="s">
        <v>52</v>
      </c>
      <c r="L20" s="11" t="s">
        <v>38</v>
      </c>
      <c r="M20" s="14">
        <v>45327</v>
      </c>
      <c r="N20" s="11">
        <v>3599.96</v>
      </c>
      <c r="O20" s="11" t="str">
        <f t="shared" si="0"/>
        <v>Apr</v>
      </c>
      <c r="P20" s="15">
        <f t="shared" ca="1" si="1"/>
        <v>46078</v>
      </c>
      <c r="Q20" s="18">
        <f t="shared" ca="1" si="8"/>
        <v>46078.801391898145</v>
      </c>
      <c r="R20" s="11">
        <f t="shared" ca="1" si="2"/>
        <v>2</v>
      </c>
      <c r="S20" s="15">
        <f t="shared" si="3"/>
        <v>45412</v>
      </c>
      <c r="T20" s="11">
        <f t="shared" si="4"/>
        <v>15659.65</v>
      </c>
      <c r="U20" s="11" t="str">
        <f t="shared" si="5"/>
        <v>High</v>
      </c>
      <c r="V20" s="11">
        <f t="shared" si="6"/>
        <v>24</v>
      </c>
      <c r="W20" s="6" t="str">
        <f t="shared" si="7"/>
        <v>M.C</v>
      </c>
      <c r="Y20" s="13" t="s">
        <v>150</v>
      </c>
      <c r="Z20" s="8">
        <v>7309.7999999999993</v>
      </c>
    </row>
    <row r="21" spans="1:26" ht="15.75" customHeight="1" x14ac:dyDescent="0.3">
      <c r="A21" s="11" t="s">
        <v>94</v>
      </c>
      <c r="B21" s="15">
        <v>45410</v>
      </c>
      <c r="C21" s="11" t="s">
        <v>95</v>
      </c>
      <c r="D21" s="11" t="s">
        <v>96</v>
      </c>
      <c r="E21" s="11" t="s">
        <v>19</v>
      </c>
      <c r="F21" s="11" t="s">
        <v>20</v>
      </c>
      <c r="G21" s="11" t="s">
        <v>21</v>
      </c>
      <c r="H21" s="11">
        <v>3</v>
      </c>
      <c r="I21" s="11">
        <v>249.99</v>
      </c>
      <c r="J21" s="11" t="s">
        <v>28</v>
      </c>
      <c r="K21" s="11" t="s">
        <v>42</v>
      </c>
      <c r="L21" s="11" t="s">
        <v>29</v>
      </c>
      <c r="M21" s="14">
        <v>45224</v>
      </c>
      <c r="N21" s="11">
        <v>749.97</v>
      </c>
      <c r="O21" s="11" t="str">
        <f t="shared" si="0"/>
        <v>Apr</v>
      </c>
      <c r="P21" s="15">
        <f t="shared" ca="1" si="1"/>
        <v>46078</v>
      </c>
      <c r="Q21" s="18">
        <f t="shared" ca="1" si="8"/>
        <v>46078.801391898145</v>
      </c>
      <c r="R21" s="11">
        <f t="shared" ca="1" si="2"/>
        <v>2</v>
      </c>
      <c r="S21" s="15">
        <f t="shared" si="3"/>
        <v>45412</v>
      </c>
      <c r="T21" s="11">
        <f t="shared" si="4"/>
        <v>4789.7900000000009</v>
      </c>
      <c r="U21" s="11" t="str">
        <f t="shared" si="5"/>
        <v>Normal</v>
      </c>
      <c r="V21" s="11">
        <f t="shared" si="6"/>
        <v>26</v>
      </c>
      <c r="W21" s="6" t="str">
        <f t="shared" si="7"/>
        <v>V.S</v>
      </c>
      <c r="Y21" s="13" t="s">
        <v>229</v>
      </c>
      <c r="Z21" s="8">
        <v>6989.7699999999986</v>
      </c>
    </row>
    <row r="22" spans="1:26" ht="15.75" customHeight="1" x14ac:dyDescent="0.3">
      <c r="A22" s="11" t="s">
        <v>97</v>
      </c>
      <c r="B22" s="15">
        <v>45412</v>
      </c>
      <c r="C22" s="11" t="s">
        <v>98</v>
      </c>
      <c r="D22" s="11" t="s">
        <v>99</v>
      </c>
      <c r="E22" s="11" t="s">
        <v>82</v>
      </c>
      <c r="F22" s="11" t="s">
        <v>83</v>
      </c>
      <c r="G22" s="11" t="s">
        <v>21</v>
      </c>
      <c r="H22" s="11">
        <v>5</v>
      </c>
      <c r="I22" s="11">
        <v>699.99</v>
      </c>
      <c r="J22" s="11" t="s">
        <v>22</v>
      </c>
      <c r="K22" s="11" t="s">
        <v>52</v>
      </c>
      <c r="L22" s="11" t="s">
        <v>24</v>
      </c>
      <c r="M22" s="14">
        <v>45167</v>
      </c>
      <c r="N22" s="11">
        <v>3499.95</v>
      </c>
      <c r="O22" s="11" t="str">
        <f t="shared" si="0"/>
        <v>Apr</v>
      </c>
      <c r="P22" s="15">
        <f t="shared" ca="1" si="1"/>
        <v>46078</v>
      </c>
      <c r="Q22" s="18">
        <f t="shared" ca="1" si="8"/>
        <v>46078.801391898145</v>
      </c>
      <c r="R22" s="11">
        <f t="shared" ca="1" si="2"/>
        <v>2</v>
      </c>
      <c r="S22" s="15">
        <f t="shared" si="3"/>
        <v>45412</v>
      </c>
      <c r="T22" s="11">
        <f t="shared" si="4"/>
        <v>10649.8</v>
      </c>
      <c r="U22" s="11" t="str">
        <f t="shared" si="5"/>
        <v>High</v>
      </c>
      <c r="V22" s="11">
        <f t="shared" si="6"/>
        <v>31</v>
      </c>
      <c r="W22" s="6" t="str">
        <f t="shared" si="7"/>
        <v>B.Y</v>
      </c>
      <c r="Y22" s="13" t="s">
        <v>27</v>
      </c>
      <c r="Z22" s="8">
        <v>6949.84</v>
      </c>
    </row>
    <row r="23" spans="1:26" ht="15.75" customHeight="1" x14ac:dyDescent="0.3">
      <c r="A23" s="11" t="s">
        <v>100</v>
      </c>
      <c r="B23" s="15">
        <v>45413</v>
      </c>
      <c r="C23" s="11" t="s">
        <v>101</v>
      </c>
      <c r="D23" s="11" t="s">
        <v>102</v>
      </c>
      <c r="E23" s="11" t="s">
        <v>82</v>
      </c>
      <c r="F23" s="11" t="s">
        <v>83</v>
      </c>
      <c r="G23" s="11" t="s">
        <v>21</v>
      </c>
      <c r="H23" s="11">
        <v>4</v>
      </c>
      <c r="I23" s="11">
        <v>699.99</v>
      </c>
      <c r="J23" s="11" t="s">
        <v>22</v>
      </c>
      <c r="K23" s="11" t="s">
        <v>65</v>
      </c>
      <c r="L23" s="11" t="s">
        <v>38</v>
      </c>
      <c r="M23" s="14">
        <v>44409</v>
      </c>
      <c r="N23" s="11">
        <v>2799.96</v>
      </c>
      <c r="O23" s="11" t="str">
        <f t="shared" si="0"/>
        <v>May</v>
      </c>
      <c r="P23" s="15">
        <f t="shared" ca="1" si="1"/>
        <v>46078</v>
      </c>
      <c r="Q23" s="18">
        <f t="shared" ca="1" si="8"/>
        <v>46078.801391898145</v>
      </c>
      <c r="R23" s="11">
        <f t="shared" ca="1" si="2"/>
        <v>4</v>
      </c>
      <c r="S23" s="15">
        <f t="shared" si="3"/>
        <v>45443</v>
      </c>
      <c r="T23" s="11">
        <f t="shared" si="4"/>
        <v>9799.73</v>
      </c>
      <c r="U23" s="11" t="str">
        <f t="shared" si="5"/>
        <v>Normal</v>
      </c>
      <c r="V23" s="11">
        <f t="shared" si="6"/>
        <v>31</v>
      </c>
      <c r="W23" s="6" t="str">
        <f t="shared" si="7"/>
        <v>P.M</v>
      </c>
      <c r="Y23" s="13" t="s">
        <v>123</v>
      </c>
      <c r="Z23" s="8">
        <v>6459.79</v>
      </c>
    </row>
    <row r="24" spans="1:26" ht="15.75" customHeight="1" x14ac:dyDescent="0.3">
      <c r="A24" s="11" t="s">
        <v>103</v>
      </c>
      <c r="B24" s="15">
        <v>45415</v>
      </c>
      <c r="C24" s="11" t="s">
        <v>104</v>
      </c>
      <c r="D24" s="11" t="s">
        <v>105</v>
      </c>
      <c r="E24" s="11" t="s">
        <v>19</v>
      </c>
      <c r="F24" s="11" t="s">
        <v>20</v>
      </c>
      <c r="G24" s="11" t="s">
        <v>21</v>
      </c>
      <c r="H24" s="11">
        <v>4</v>
      </c>
      <c r="I24" s="11">
        <v>249.99</v>
      </c>
      <c r="J24" s="11" t="s">
        <v>36</v>
      </c>
      <c r="K24" s="11" t="s">
        <v>42</v>
      </c>
      <c r="L24" s="11" t="s">
        <v>38</v>
      </c>
      <c r="M24" s="14">
        <v>44468</v>
      </c>
      <c r="N24" s="11">
        <v>999.96</v>
      </c>
      <c r="O24" s="11" t="str">
        <f t="shared" si="0"/>
        <v>May</v>
      </c>
      <c r="P24" s="15">
        <f t="shared" ca="1" si="1"/>
        <v>46078</v>
      </c>
      <c r="Q24" s="18">
        <f t="shared" ca="1" si="8"/>
        <v>46078.801391898145</v>
      </c>
      <c r="R24" s="11">
        <f t="shared" ca="1" si="2"/>
        <v>4</v>
      </c>
      <c r="S24" s="15">
        <f t="shared" si="3"/>
        <v>45443</v>
      </c>
      <c r="T24" s="11">
        <f t="shared" si="4"/>
        <v>3769.8300000000004</v>
      </c>
      <c r="U24" s="11" t="str">
        <f t="shared" si="5"/>
        <v>Normal</v>
      </c>
      <c r="V24" s="11">
        <f t="shared" si="6"/>
        <v>26</v>
      </c>
      <c r="W24" s="6" t="str">
        <f t="shared" si="7"/>
        <v>C.P</v>
      </c>
      <c r="Y24" s="13" t="s">
        <v>199</v>
      </c>
      <c r="Z24" s="8">
        <v>6379.87</v>
      </c>
    </row>
    <row r="25" spans="1:26" ht="15.75" customHeight="1" x14ac:dyDescent="0.3">
      <c r="A25" s="11" t="s">
        <v>106</v>
      </c>
      <c r="B25" s="15">
        <v>45416</v>
      </c>
      <c r="C25" s="11" t="s">
        <v>88</v>
      </c>
      <c r="D25" s="11" t="s">
        <v>89</v>
      </c>
      <c r="E25" s="11" t="s">
        <v>107</v>
      </c>
      <c r="F25" s="11" t="s">
        <v>108</v>
      </c>
      <c r="G25" s="11" t="s">
        <v>48</v>
      </c>
      <c r="H25" s="11">
        <v>4</v>
      </c>
      <c r="I25" s="11">
        <v>299.99</v>
      </c>
      <c r="J25" s="11" t="s">
        <v>22</v>
      </c>
      <c r="K25" s="11" t="s">
        <v>52</v>
      </c>
      <c r="L25" s="11" t="s">
        <v>29</v>
      </c>
      <c r="M25" s="14">
        <v>44716</v>
      </c>
      <c r="N25" s="11">
        <v>1199.96</v>
      </c>
      <c r="O25" s="11" t="str">
        <f t="shared" si="0"/>
        <v>May</v>
      </c>
      <c r="P25" s="15">
        <f t="shared" ca="1" si="1"/>
        <v>46078</v>
      </c>
      <c r="Q25" s="18">
        <f t="shared" ca="1" si="8"/>
        <v>46078.801391898145</v>
      </c>
      <c r="R25" s="11">
        <f t="shared" ca="1" si="2"/>
        <v>3</v>
      </c>
      <c r="S25" s="15">
        <f t="shared" si="3"/>
        <v>45443</v>
      </c>
      <c r="T25" s="11">
        <f t="shared" si="4"/>
        <v>15659.65</v>
      </c>
      <c r="U25" s="11" t="str">
        <f t="shared" si="5"/>
        <v>High</v>
      </c>
      <c r="V25" s="11">
        <f t="shared" si="6"/>
        <v>26</v>
      </c>
      <c r="W25" s="6" t="str">
        <f t="shared" si="7"/>
        <v>M.C</v>
      </c>
      <c r="Y25" s="13" t="s">
        <v>237</v>
      </c>
      <c r="Z25" s="8">
        <v>6349.83</v>
      </c>
    </row>
    <row r="26" spans="1:26" ht="15.75" customHeight="1" x14ac:dyDescent="0.3">
      <c r="A26" s="11" t="s">
        <v>109</v>
      </c>
      <c r="B26" s="15">
        <v>45422</v>
      </c>
      <c r="C26" s="11" t="s">
        <v>110</v>
      </c>
      <c r="D26" s="11" t="s">
        <v>111</v>
      </c>
      <c r="E26" s="11" t="s">
        <v>19</v>
      </c>
      <c r="F26" s="11" t="s">
        <v>20</v>
      </c>
      <c r="G26" s="11" t="s">
        <v>21</v>
      </c>
      <c r="H26" s="11">
        <v>5</v>
      </c>
      <c r="I26" s="11">
        <v>249.99</v>
      </c>
      <c r="J26" s="11" t="s">
        <v>28</v>
      </c>
      <c r="K26" s="11" t="s">
        <v>52</v>
      </c>
      <c r="L26" s="11" t="s">
        <v>38</v>
      </c>
      <c r="M26" s="14">
        <v>44525</v>
      </c>
      <c r="N26" s="11">
        <v>1249.95</v>
      </c>
      <c r="O26" s="11" t="str">
        <f t="shared" si="0"/>
        <v>May</v>
      </c>
      <c r="P26" s="15">
        <f t="shared" ca="1" si="1"/>
        <v>46078</v>
      </c>
      <c r="Q26" s="18">
        <f t="shared" ca="1" si="8"/>
        <v>46078.801391898145</v>
      </c>
      <c r="R26" s="11">
        <f t="shared" ca="1" si="2"/>
        <v>4</v>
      </c>
      <c r="S26" s="15">
        <f t="shared" si="3"/>
        <v>45443</v>
      </c>
      <c r="T26" s="11">
        <f t="shared" si="4"/>
        <v>4189.7700000000004</v>
      </c>
      <c r="U26" s="11" t="str">
        <f t="shared" si="5"/>
        <v>Normal</v>
      </c>
      <c r="V26" s="11">
        <f t="shared" si="6"/>
        <v>26</v>
      </c>
      <c r="W26" s="6" t="str">
        <f t="shared" si="7"/>
        <v>N.C</v>
      </c>
      <c r="Y26" s="13" t="s">
        <v>45</v>
      </c>
      <c r="Z26" s="8">
        <v>6169.7400000000007</v>
      </c>
    </row>
    <row r="27" spans="1:26" ht="15.75" customHeight="1" x14ac:dyDescent="0.3">
      <c r="A27" s="11" t="s">
        <v>112</v>
      </c>
      <c r="B27" s="15">
        <v>45424</v>
      </c>
      <c r="C27" s="11" t="s">
        <v>70</v>
      </c>
      <c r="D27" s="11" t="s">
        <v>71</v>
      </c>
      <c r="E27" s="11" t="s">
        <v>107</v>
      </c>
      <c r="F27" s="11" t="s">
        <v>108</v>
      </c>
      <c r="G27" s="11" t="s">
        <v>48</v>
      </c>
      <c r="H27" s="11">
        <v>5</v>
      </c>
      <c r="I27" s="11">
        <v>299.99</v>
      </c>
      <c r="J27" s="11" t="s">
        <v>36</v>
      </c>
      <c r="K27" s="11" t="s">
        <v>65</v>
      </c>
      <c r="L27" s="11" t="s">
        <v>24</v>
      </c>
      <c r="M27" s="14">
        <v>45168</v>
      </c>
      <c r="N27" s="11">
        <v>1499.95</v>
      </c>
      <c r="O27" s="11" t="str">
        <f t="shared" si="0"/>
        <v>May</v>
      </c>
      <c r="P27" s="15">
        <f t="shared" ca="1" si="1"/>
        <v>46078</v>
      </c>
      <c r="Q27" s="18">
        <f t="shared" ca="1" si="8"/>
        <v>46078.801391898145</v>
      </c>
      <c r="R27" s="11">
        <f t="shared" ca="1" si="2"/>
        <v>2</v>
      </c>
      <c r="S27" s="15">
        <f t="shared" si="3"/>
        <v>45443</v>
      </c>
      <c r="T27" s="11">
        <f t="shared" si="4"/>
        <v>1979.89</v>
      </c>
      <c r="U27" s="11" t="str">
        <f t="shared" si="5"/>
        <v>Normal</v>
      </c>
      <c r="V27" s="11">
        <f t="shared" si="6"/>
        <v>26</v>
      </c>
      <c r="W27" s="6" t="str">
        <f t="shared" si="7"/>
        <v>S.G</v>
      </c>
      <c r="Y27" s="13" t="s">
        <v>75</v>
      </c>
      <c r="Z27" s="8">
        <v>5949.85</v>
      </c>
    </row>
    <row r="28" spans="1:26" ht="15.75" customHeight="1" x14ac:dyDescent="0.3">
      <c r="A28" s="11" t="s">
        <v>113</v>
      </c>
      <c r="B28" s="15">
        <v>45424</v>
      </c>
      <c r="C28" s="11" t="s">
        <v>114</v>
      </c>
      <c r="D28" s="11" t="s">
        <v>115</v>
      </c>
      <c r="E28" s="11" t="s">
        <v>116</v>
      </c>
      <c r="F28" s="11" t="s">
        <v>117</v>
      </c>
      <c r="G28" s="11" t="s">
        <v>35</v>
      </c>
      <c r="H28" s="11">
        <v>3</v>
      </c>
      <c r="I28" s="11">
        <v>79.989999999999995</v>
      </c>
      <c r="J28" s="11" t="s">
        <v>36</v>
      </c>
      <c r="K28" s="11" t="s">
        <v>65</v>
      </c>
      <c r="L28" s="11" t="s">
        <v>29</v>
      </c>
      <c r="M28" s="14">
        <v>45012</v>
      </c>
      <c r="N28" s="11">
        <v>239.97</v>
      </c>
      <c r="O28" s="11" t="str">
        <f t="shared" si="0"/>
        <v>May</v>
      </c>
      <c r="P28" s="15">
        <f t="shared" ca="1" si="1"/>
        <v>46078</v>
      </c>
      <c r="Q28" s="18">
        <f t="shared" ca="1" si="8"/>
        <v>46078.801391898145</v>
      </c>
      <c r="R28" s="11">
        <f t="shared" ca="1" si="2"/>
        <v>2</v>
      </c>
      <c r="S28" s="15">
        <f t="shared" si="3"/>
        <v>45443</v>
      </c>
      <c r="T28" s="11">
        <f t="shared" si="4"/>
        <v>1289.9000000000001</v>
      </c>
      <c r="U28" s="11" t="str">
        <f t="shared" si="5"/>
        <v>Normal</v>
      </c>
      <c r="V28" s="11">
        <f t="shared" si="6"/>
        <v>14</v>
      </c>
      <c r="W28" s="6" t="str">
        <f t="shared" si="7"/>
        <v>L.M</v>
      </c>
      <c r="Y28" s="13" t="s">
        <v>161</v>
      </c>
      <c r="Z28" s="8">
        <v>5649.84</v>
      </c>
    </row>
    <row r="29" spans="1:26" ht="15.75" customHeight="1" x14ac:dyDescent="0.3">
      <c r="A29" s="11" t="s">
        <v>118</v>
      </c>
      <c r="B29" s="15">
        <v>45424</v>
      </c>
      <c r="C29" s="11" t="s">
        <v>101</v>
      </c>
      <c r="D29" s="11" t="s">
        <v>102</v>
      </c>
      <c r="E29" s="11" t="s">
        <v>119</v>
      </c>
      <c r="F29" s="11" t="s">
        <v>120</v>
      </c>
      <c r="G29" s="11" t="s">
        <v>21</v>
      </c>
      <c r="H29" s="11">
        <v>5</v>
      </c>
      <c r="I29" s="11">
        <v>89.99</v>
      </c>
      <c r="J29" s="11" t="s">
        <v>22</v>
      </c>
      <c r="K29" s="11" t="s">
        <v>42</v>
      </c>
      <c r="L29" s="11" t="s">
        <v>29</v>
      </c>
      <c r="M29" s="14">
        <v>44919</v>
      </c>
      <c r="N29" s="11">
        <v>449.95</v>
      </c>
      <c r="O29" s="11" t="str">
        <f t="shared" si="0"/>
        <v>May</v>
      </c>
      <c r="P29" s="15">
        <f t="shared" ca="1" si="1"/>
        <v>46078</v>
      </c>
      <c r="Q29" s="18">
        <f t="shared" ca="1" si="8"/>
        <v>46078.801391898145</v>
      </c>
      <c r="R29" s="11">
        <f t="shared" ca="1" si="2"/>
        <v>3</v>
      </c>
      <c r="S29" s="15">
        <f t="shared" si="3"/>
        <v>45443</v>
      </c>
      <c r="T29" s="11">
        <f t="shared" si="4"/>
        <v>9799.73</v>
      </c>
      <c r="U29" s="11" t="str">
        <f t="shared" si="5"/>
        <v>Normal</v>
      </c>
      <c r="V29" s="11">
        <f t="shared" si="6"/>
        <v>34</v>
      </c>
      <c r="W29" s="6" t="str">
        <f t="shared" si="7"/>
        <v>P.M</v>
      </c>
      <c r="Y29" s="13" t="s">
        <v>153</v>
      </c>
      <c r="Z29" s="8">
        <v>5619.869999999999</v>
      </c>
    </row>
    <row r="30" spans="1:26" ht="15.75" customHeight="1" x14ac:dyDescent="0.3">
      <c r="A30" s="11" t="s">
        <v>121</v>
      </c>
      <c r="B30" s="15">
        <v>45425</v>
      </c>
      <c r="C30" s="11" t="s">
        <v>122</v>
      </c>
      <c r="D30" s="11" t="s">
        <v>123</v>
      </c>
      <c r="E30" s="11" t="s">
        <v>33</v>
      </c>
      <c r="F30" s="11" t="s">
        <v>34</v>
      </c>
      <c r="G30" s="11" t="s">
        <v>35</v>
      </c>
      <c r="H30" s="11">
        <v>2</v>
      </c>
      <c r="I30" s="11">
        <v>59.99</v>
      </c>
      <c r="J30" s="11" t="s">
        <v>59</v>
      </c>
      <c r="K30" s="11" t="s">
        <v>23</v>
      </c>
      <c r="L30" s="11" t="s">
        <v>38</v>
      </c>
      <c r="M30" s="14">
        <v>45214</v>
      </c>
      <c r="N30" s="11">
        <v>119.98</v>
      </c>
      <c r="O30" s="11" t="str">
        <f t="shared" si="0"/>
        <v>May</v>
      </c>
      <c r="P30" s="15">
        <f t="shared" ca="1" si="1"/>
        <v>46078</v>
      </c>
      <c r="Q30" s="18">
        <f t="shared" ca="1" si="8"/>
        <v>46078.801391898145</v>
      </c>
      <c r="R30" s="11">
        <f t="shared" ca="1" si="2"/>
        <v>2</v>
      </c>
      <c r="S30" s="15">
        <f t="shared" si="3"/>
        <v>45443</v>
      </c>
      <c r="T30" s="11">
        <f t="shared" si="4"/>
        <v>6459.79</v>
      </c>
      <c r="U30" s="11" t="str">
        <f t="shared" si="5"/>
        <v>Normal</v>
      </c>
      <c r="V30" s="11">
        <f t="shared" si="6"/>
        <v>29</v>
      </c>
      <c r="W30" s="6" t="str">
        <f t="shared" si="7"/>
        <v>H.R</v>
      </c>
      <c r="Y30" s="13" t="s">
        <v>147</v>
      </c>
      <c r="Z30" s="8">
        <v>5519.8899999999994</v>
      </c>
    </row>
    <row r="31" spans="1:26" ht="15.75" customHeight="1" x14ac:dyDescent="0.3">
      <c r="A31" s="11" t="s">
        <v>124</v>
      </c>
      <c r="B31" s="15">
        <v>45427</v>
      </c>
      <c r="C31" s="11" t="s">
        <v>125</v>
      </c>
      <c r="D31" s="11" t="s">
        <v>126</v>
      </c>
      <c r="E31" s="11" t="s">
        <v>33</v>
      </c>
      <c r="F31" s="11" t="s">
        <v>34</v>
      </c>
      <c r="G31" s="11" t="s">
        <v>35</v>
      </c>
      <c r="H31" s="11">
        <v>4</v>
      </c>
      <c r="I31" s="11">
        <v>59.99</v>
      </c>
      <c r="J31" s="11" t="s">
        <v>59</v>
      </c>
      <c r="K31" s="11" t="s">
        <v>65</v>
      </c>
      <c r="L31" s="11" t="s">
        <v>38</v>
      </c>
      <c r="M31" s="14">
        <v>44867</v>
      </c>
      <c r="N31" s="11">
        <v>239.96</v>
      </c>
      <c r="O31" s="11" t="str">
        <f t="shared" si="0"/>
        <v>May</v>
      </c>
      <c r="P31" s="15">
        <f t="shared" ca="1" si="1"/>
        <v>46078</v>
      </c>
      <c r="Q31" s="18">
        <f t="shared" ca="1" si="8"/>
        <v>46078.801391898145</v>
      </c>
      <c r="R31" s="11">
        <f t="shared" ca="1" si="2"/>
        <v>3</v>
      </c>
      <c r="S31" s="15">
        <f t="shared" si="3"/>
        <v>45443</v>
      </c>
      <c r="T31" s="11">
        <f t="shared" si="4"/>
        <v>11919.769999999999</v>
      </c>
      <c r="U31" s="11" t="str">
        <f t="shared" si="5"/>
        <v>High</v>
      </c>
      <c r="V31" s="11">
        <f t="shared" si="6"/>
        <v>29</v>
      </c>
      <c r="W31" s="6" t="str">
        <f t="shared" si="7"/>
        <v>E.M</v>
      </c>
      <c r="Y31" s="13" t="s">
        <v>157</v>
      </c>
      <c r="Z31" s="8">
        <v>5499.8099999999995</v>
      </c>
    </row>
    <row r="32" spans="1:26" ht="15.75" customHeight="1" x14ac:dyDescent="0.3">
      <c r="A32" s="11" t="s">
        <v>127</v>
      </c>
      <c r="B32" s="15">
        <v>45427</v>
      </c>
      <c r="C32" s="11" t="s">
        <v>57</v>
      </c>
      <c r="D32" s="11" t="s">
        <v>58</v>
      </c>
      <c r="E32" s="11" t="s">
        <v>128</v>
      </c>
      <c r="F32" s="11" t="s">
        <v>129</v>
      </c>
      <c r="G32" s="11" t="s">
        <v>48</v>
      </c>
      <c r="H32" s="11">
        <v>5</v>
      </c>
      <c r="I32" s="11">
        <v>199.99</v>
      </c>
      <c r="J32" s="11" t="s">
        <v>22</v>
      </c>
      <c r="K32" s="11" t="s">
        <v>37</v>
      </c>
      <c r="L32" s="11" t="s">
        <v>38</v>
      </c>
      <c r="M32" s="14">
        <v>44412</v>
      </c>
      <c r="N32" s="11">
        <v>999.95</v>
      </c>
      <c r="O32" s="11" t="str">
        <f t="shared" si="0"/>
        <v>May</v>
      </c>
      <c r="P32" s="15">
        <f t="shared" ca="1" si="1"/>
        <v>46078</v>
      </c>
      <c r="Q32" s="18">
        <f t="shared" ca="1" si="8"/>
        <v>46078.801391898145</v>
      </c>
      <c r="R32" s="11">
        <f t="shared" ca="1" si="2"/>
        <v>4</v>
      </c>
      <c r="S32" s="15">
        <f t="shared" si="3"/>
        <v>45443</v>
      </c>
      <c r="T32" s="11">
        <f t="shared" si="4"/>
        <v>5089.7300000000005</v>
      </c>
      <c r="U32" s="11" t="str">
        <f t="shared" si="5"/>
        <v>Normal</v>
      </c>
      <c r="V32" s="11">
        <f t="shared" si="6"/>
        <v>15</v>
      </c>
      <c r="W32" s="6" t="str">
        <f t="shared" si="7"/>
        <v>C.A</v>
      </c>
      <c r="Y32" s="13" t="s">
        <v>58</v>
      </c>
      <c r="Z32" s="8">
        <v>5089.7300000000005</v>
      </c>
    </row>
    <row r="33" spans="1:26" ht="15.75" customHeight="1" x14ac:dyDescent="0.3">
      <c r="A33" s="11" t="s">
        <v>130</v>
      </c>
      <c r="B33" s="15">
        <v>45428</v>
      </c>
      <c r="C33" s="11" t="s">
        <v>131</v>
      </c>
      <c r="D33" s="11" t="s">
        <v>132</v>
      </c>
      <c r="E33" s="11" t="s">
        <v>46</v>
      </c>
      <c r="F33" s="11" t="s">
        <v>47</v>
      </c>
      <c r="G33" s="11" t="s">
        <v>48</v>
      </c>
      <c r="H33" s="11">
        <v>2</v>
      </c>
      <c r="I33" s="11">
        <v>149.99</v>
      </c>
      <c r="J33" s="11" t="s">
        <v>28</v>
      </c>
      <c r="K33" s="11" t="s">
        <v>52</v>
      </c>
      <c r="L33" s="11" t="s">
        <v>24</v>
      </c>
      <c r="M33" s="14">
        <v>44823</v>
      </c>
      <c r="N33" s="11">
        <v>299.98</v>
      </c>
      <c r="O33" s="11" t="str">
        <f t="shared" si="0"/>
        <v>May</v>
      </c>
      <c r="P33" s="15">
        <f t="shared" ca="1" si="1"/>
        <v>46078</v>
      </c>
      <c r="Q33" s="18">
        <f t="shared" ca="1" si="8"/>
        <v>46078.801391898145</v>
      </c>
      <c r="R33" s="11">
        <f t="shared" ca="1" si="2"/>
        <v>3</v>
      </c>
      <c r="S33" s="15">
        <f t="shared" si="3"/>
        <v>45443</v>
      </c>
      <c r="T33" s="11">
        <f t="shared" si="4"/>
        <v>2039.8000000000002</v>
      </c>
      <c r="U33" s="11" t="str">
        <f t="shared" si="5"/>
        <v>Normal</v>
      </c>
      <c r="V33" s="11">
        <f t="shared" si="6"/>
        <v>35</v>
      </c>
      <c r="W33" s="6" t="str">
        <f t="shared" si="7"/>
        <v>L.A</v>
      </c>
      <c r="Y33" s="13" t="s">
        <v>296</v>
      </c>
      <c r="Z33" s="8">
        <v>4829.8899999999994</v>
      </c>
    </row>
    <row r="34" spans="1:26" ht="15.75" customHeight="1" x14ac:dyDescent="0.3">
      <c r="A34" s="11" t="s">
        <v>133</v>
      </c>
      <c r="B34" s="15">
        <v>45430</v>
      </c>
      <c r="C34" s="11" t="s">
        <v>134</v>
      </c>
      <c r="D34" s="11" t="s">
        <v>135</v>
      </c>
      <c r="E34" s="11" t="s">
        <v>46</v>
      </c>
      <c r="F34" s="11" t="s">
        <v>47</v>
      </c>
      <c r="G34" s="11" t="s">
        <v>48</v>
      </c>
      <c r="H34" s="11">
        <v>3</v>
      </c>
      <c r="I34" s="11">
        <v>149.99</v>
      </c>
      <c r="J34" s="11" t="s">
        <v>28</v>
      </c>
      <c r="K34" s="11" t="s">
        <v>52</v>
      </c>
      <c r="L34" s="11" t="s">
        <v>29</v>
      </c>
      <c r="M34" s="14">
        <v>45068</v>
      </c>
      <c r="N34" s="11">
        <v>449.97</v>
      </c>
      <c r="O34" s="11" t="str">
        <f t="shared" si="0"/>
        <v>May</v>
      </c>
      <c r="P34" s="15">
        <f t="shared" ca="1" si="1"/>
        <v>46078</v>
      </c>
      <c r="Q34" s="18">
        <f t="shared" ca="1" si="8"/>
        <v>46078.801391898145</v>
      </c>
      <c r="R34" s="11">
        <f t="shared" ca="1" si="2"/>
        <v>2</v>
      </c>
      <c r="S34" s="15">
        <f t="shared" si="3"/>
        <v>45443</v>
      </c>
      <c r="T34" s="11">
        <f t="shared" si="4"/>
        <v>1229.8800000000001</v>
      </c>
      <c r="U34" s="11" t="str">
        <f t="shared" si="5"/>
        <v>Normal</v>
      </c>
      <c r="V34" s="11">
        <f t="shared" si="6"/>
        <v>35</v>
      </c>
      <c r="W34" s="6" t="str">
        <f t="shared" si="7"/>
        <v>E.W</v>
      </c>
      <c r="Y34" s="13" t="s">
        <v>96</v>
      </c>
      <c r="Z34" s="8">
        <v>4789.7900000000009</v>
      </c>
    </row>
    <row r="35" spans="1:26" ht="15.75" customHeight="1" x14ac:dyDescent="0.3">
      <c r="A35" s="11" t="s">
        <v>136</v>
      </c>
      <c r="B35" s="15">
        <v>45432</v>
      </c>
      <c r="C35" s="11" t="s">
        <v>31</v>
      </c>
      <c r="D35" s="11" t="s">
        <v>32</v>
      </c>
      <c r="E35" s="11" t="s">
        <v>63</v>
      </c>
      <c r="F35" s="11" t="s">
        <v>64</v>
      </c>
      <c r="G35" s="11" t="s">
        <v>21</v>
      </c>
      <c r="H35" s="11">
        <v>1</v>
      </c>
      <c r="I35" s="11">
        <v>899.99</v>
      </c>
      <c r="J35" s="11" t="s">
        <v>28</v>
      </c>
      <c r="K35" s="11" t="s">
        <v>52</v>
      </c>
      <c r="L35" s="11" t="s">
        <v>29</v>
      </c>
      <c r="M35" s="14">
        <v>44578</v>
      </c>
      <c r="N35" s="11">
        <v>899.99</v>
      </c>
      <c r="O35" s="11" t="str">
        <f t="shared" si="0"/>
        <v>May</v>
      </c>
      <c r="P35" s="15">
        <f t="shared" ca="1" si="1"/>
        <v>46078</v>
      </c>
      <c r="Q35" s="18">
        <f t="shared" ca="1" si="8"/>
        <v>46078.801391898145</v>
      </c>
      <c r="R35" s="11">
        <f t="shared" ca="1" si="2"/>
        <v>4</v>
      </c>
      <c r="S35" s="15">
        <f t="shared" si="3"/>
        <v>45443</v>
      </c>
      <c r="T35" s="11">
        <f t="shared" si="4"/>
        <v>3259.87</v>
      </c>
      <c r="U35" s="11" t="str">
        <f t="shared" si="5"/>
        <v>Normal</v>
      </c>
      <c r="V35" s="11">
        <f t="shared" si="6"/>
        <v>24</v>
      </c>
      <c r="W35" s="6" t="str">
        <f t="shared" si="7"/>
        <v>K.S</v>
      </c>
      <c r="Y35" s="13" t="s">
        <v>255</v>
      </c>
      <c r="Z35" s="8">
        <v>4749.91</v>
      </c>
    </row>
    <row r="36" spans="1:26" ht="15.75" customHeight="1" x14ac:dyDescent="0.3">
      <c r="A36" s="11" t="s">
        <v>137</v>
      </c>
      <c r="B36" s="15">
        <v>45434</v>
      </c>
      <c r="C36" s="11" t="s">
        <v>101</v>
      </c>
      <c r="D36" s="11" t="s">
        <v>102</v>
      </c>
      <c r="E36" s="11" t="s">
        <v>107</v>
      </c>
      <c r="F36" s="11" t="s">
        <v>108</v>
      </c>
      <c r="G36" s="11" t="s">
        <v>48</v>
      </c>
      <c r="H36" s="11">
        <v>3</v>
      </c>
      <c r="I36" s="11">
        <v>299.99</v>
      </c>
      <c r="J36" s="11" t="s">
        <v>28</v>
      </c>
      <c r="K36" s="11" t="s">
        <v>65</v>
      </c>
      <c r="L36" s="11" t="s">
        <v>24</v>
      </c>
      <c r="M36" s="14">
        <v>44824</v>
      </c>
      <c r="N36" s="11">
        <v>899.97</v>
      </c>
      <c r="O36" s="11" t="str">
        <f t="shared" si="0"/>
        <v>May</v>
      </c>
      <c r="P36" s="15">
        <f t="shared" ca="1" si="1"/>
        <v>46078</v>
      </c>
      <c r="Q36" s="18">
        <f t="shared" ca="1" si="8"/>
        <v>46078.801391898145</v>
      </c>
      <c r="R36" s="11">
        <f t="shared" ca="1" si="2"/>
        <v>3</v>
      </c>
      <c r="S36" s="15">
        <f t="shared" si="3"/>
        <v>45443</v>
      </c>
      <c r="T36" s="11">
        <f t="shared" si="4"/>
        <v>9799.73</v>
      </c>
      <c r="U36" s="11" t="str">
        <f t="shared" si="5"/>
        <v>Normal</v>
      </c>
      <c r="V36" s="11">
        <f t="shared" si="6"/>
        <v>26</v>
      </c>
      <c r="W36" s="6" t="str">
        <f t="shared" si="7"/>
        <v>P.M</v>
      </c>
      <c r="Y36" s="13" t="s">
        <v>144</v>
      </c>
      <c r="Z36" s="8">
        <v>4739.8500000000004</v>
      </c>
    </row>
    <row r="37" spans="1:26" ht="15.75" customHeight="1" x14ac:dyDescent="0.3">
      <c r="A37" s="11" t="s">
        <v>138</v>
      </c>
      <c r="B37" s="15">
        <v>45435</v>
      </c>
      <c r="C37" s="11" t="s">
        <v>131</v>
      </c>
      <c r="D37" s="11" t="s">
        <v>132</v>
      </c>
      <c r="E37" s="11" t="s">
        <v>116</v>
      </c>
      <c r="F37" s="11" t="s">
        <v>117</v>
      </c>
      <c r="G37" s="11" t="s">
        <v>35</v>
      </c>
      <c r="H37" s="11">
        <v>3</v>
      </c>
      <c r="I37" s="11">
        <v>79.989999999999995</v>
      </c>
      <c r="J37" s="11" t="s">
        <v>22</v>
      </c>
      <c r="K37" s="11" t="s">
        <v>37</v>
      </c>
      <c r="L37" s="11" t="s">
        <v>24</v>
      </c>
      <c r="M37" s="14">
        <v>45046</v>
      </c>
      <c r="N37" s="11">
        <v>239.97</v>
      </c>
      <c r="O37" s="11" t="str">
        <f t="shared" si="0"/>
        <v>May</v>
      </c>
      <c r="P37" s="15">
        <f t="shared" ca="1" si="1"/>
        <v>46078</v>
      </c>
      <c r="Q37" s="18">
        <f t="shared" ca="1" si="8"/>
        <v>46078.801391898145</v>
      </c>
      <c r="R37" s="11">
        <f t="shared" ca="1" si="2"/>
        <v>2</v>
      </c>
      <c r="S37" s="15">
        <f t="shared" si="3"/>
        <v>45443</v>
      </c>
      <c r="T37" s="11">
        <f t="shared" si="4"/>
        <v>2039.8000000000002</v>
      </c>
      <c r="U37" s="11" t="str">
        <f t="shared" si="5"/>
        <v>Normal</v>
      </c>
      <c r="V37" s="11">
        <f t="shared" si="6"/>
        <v>14</v>
      </c>
      <c r="W37" s="6" t="str">
        <f t="shared" si="7"/>
        <v>L.A</v>
      </c>
      <c r="Y37" s="13" t="s">
        <v>41</v>
      </c>
      <c r="Z37" s="8">
        <v>4309.8099999999995</v>
      </c>
    </row>
    <row r="38" spans="1:26" ht="15.75" customHeight="1" x14ac:dyDescent="0.3">
      <c r="A38" s="11" t="s">
        <v>139</v>
      </c>
      <c r="B38" s="15">
        <v>45438</v>
      </c>
      <c r="C38" s="11" t="s">
        <v>140</v>
      </c>
      <c r="D38" s="11" t="s">
        <v>141</v>
      </c>
      <c r="E38" s="11" t="s">
        <v>128</v>
      </c>
      <c r="F38" s="11" t="s">
        <v>129</v>
      </c>
      <c r="G38" s="11" t="s">
        <v>48</v>
      </c>
      <c r="H38" s="11">
        <v>3</v>
      </c>
      <c r="I38" s="11">
        <v>199.99</v>
      </c>
      <c r="J38" s="11" t="s">
        <v>28</v>
      </c>
      <c r="K38" s="11" t="s">
        <v>42</v>
      </c>
      <c r="L38" s="11" t="s">
        <v>29</v>
      </c>
      <c r="M38" s="14">
        <v>45292</v>
      </c>
      <c r="N38" s="11">
        <v>599.97</v>
      </c>
      <c r="O38" s="11" t="str">
        <f t="shared" si="0"/>
        <v>May</v>
      </c>
      <c r="P38" s="15">
        <f t="shared" ca="1" si="1"/>
        <v>46078</v>
      </c>
      <c r="Q38" s="18">
        <f t="shared" ca="1" si="8"/>
        <v>46078.801391898145</v>
      </c>
      <c r="R38" s="11">
        <f t="shared" ca="1" si="2"/>
        <v>2</v>
      </c>
      <c r="S38" s="15">
        <f t="shared" si="3"/>
        <v>45443</v>
      </c>
      <c r="T38" s="11">
        <f t="shared" si="4"/>
        <v>2649.83</v>
      </c>
      <c r="U38" s="11" t="str">
        <f t="shared" si="5"/>
        <v>Normal</v>
      </c>
      <c r="V38" s="11">
        <f t="shared" si="6"/>
        <v>15</v>
      </c>
      <c r="W38" s="6" t="str">
        <f t="shared" si="7"/>
        <v>S.T</v>
      </c>
      <c r="Y38" s="13" t="s">
        <v>81</v>
      </c>
      <c r="Z38" s="8">
        <v>4199.9399999999996</v>
      </c>
    </row>
    <row r="39" spans="1:26" ht="15.75" customHeight="1" x14ac:dyDescent="0.3">
      <c r="A39" s="11" t="s">
        <v>142</v>
      </c>
      <c r="B39" s="15">
        <v>45440</v>
      </c>
      <c r="C39" s="11" t="s">
        <v>143</v>
      </c>
      <c r="D39" s="11" t="s">
        <v>144</v>
      </c>
      <c r="E39" s="11" t="s">
        <v>82</v>
      </c>
      <c r="F39" s="11" t="s">
        <v>83</v>
      </c>
      <c r="G39" s="11" t="s">
        <v>21</v>
      </c>
      <c r="H39" s="11">
        <v>5</v>
      </c>
      <c r="I39" s="11">
        <v>699.99</v>
      </c>
      <c r="J39" s="11" t="s">
        <v>36</v>
      </c>
      <c r="K39" s="11" t="s">
        <v>52</v>
      </c>
      <c r="L39" s="11" t="s">
        <v>38</v>
      </c>
      <c r="M39" s="14">
        <v>44407</v>
      </c>
      <c r="N39" s="11">
        <v>3499.95</v>
      </c>
      <c r="O39" s="11" t="str">
        <f t="shared" si="0"/>
        <v>May</v>
      </c>
      <c r="P39" s="15">
        <f t="shared" ca="1" si="1"/>
        <v>46078</v>
      </c>
      <c r="Q39" s="18">
        <f t="shared" ca="1" si="8"/>
        <v>46078.801391898145</v>
      </c>
      <c r="R39" s="11">
        <f t="shared" ca="1" si="2"/>
        <v>4</v>
      </c>
      <c r="S39" s="15">
        <f t="shared" si="3"/>
        <v>45443</v>
      </c>
      <c r="T39" s="11">
        <f t="shared" si="4"/>
        <v>4739.8500000000004</v>
      </c>
      <c r="U39" s="11" t="str">
        <f t="shared" si="5"/>
        <v>Normal</v>
      </c>
      <c r="V39" s="11">
        <f t="shared" si="6"/>
        <v>31</v>
      </c>
      <c r="W39" s="6" t="str">
        <f t="shared" si="7"/>
        <v>J.T</v>
      </c>
      <c r="Y39" s="13" t="s">
        <v>111</v>
      </c>
      <c r="Z39" s="8">
        <v>4189.7700000000004</v>
      </c>
    </row>
    <row r="40" spans="1:26" ht="15.75" customHeight="1" x14ac:dyDescent="0.3">
      <c r="A40" s="11" t="s">
        <v>145</v>
      </c>
      <c r="B40" s="15">
        <v>45441</v>
      </c>
      <c r="C40" s="11" t="s">
        <v>146</v>
      </c>
      <c r="D40" s="11" t="s">
        <v>147</v>
      </c>
      <c r="E40" s="11" t="s">
        <v>119</v>
      </c>
      <c r="F40" s="11" t="s">
        <v>120</v>
      </c>
      <c r="G40" s="11" t="s">
        <v>21</v>
      </c>
      <c r="H40" s="11">
        <v>3</v>
      </c>
      <c r="I40" s="11">
        <v>89.99</v>
      </c>
      <c r="J40" s="11" t="s">
        <v>36</v>
      </c>
      <c r="K40" s="11" t="s">
        <v>23</v>
      </c>
      <c r="L40" s="11" t="s">
        <v>29</v>
      </c>
      <c r="M40" s="14">
        <v>45120</v>
      </c>
      <c r="N40" s="11">
        <v>269.97000000000003</v>
      </c>
      <c r="O40" s="11" t="str">
        <f t="shared" si="0"/>
        <v>May</v>
      </c>
      <c r="P40" s="15">
        <f t="shared" ca="1" si="1"/>
        <v>46078</v>
      </c>
      <c r="Q40" s="18">
        <f t="shared" ca="1" si="8"/>
        <v>46078.801391898145</v>
      </c>
      <c r="R40" s="11">
        <f t="shared" ca="1" si="2"/>
        <v>2</v>
      </c>
      <c r="S40" s="15">
        <f t="shared" si="3"/>
        <v>45443</v>
      </c>
      <c r="T40" s="11">
        <f t="shared" si="4"/>
        <v>5519.8899999999994</v>
      </c>
      <c r="U40" s="11" t="str">
        <f t="shared" si="5"/>
        <v>Normal</v>
      </c>
      <c r="V40" s="11">
        <f t="shared" si="6"/>
        <v>34</v>
      </c>
      <c r="W40" s="6" t="str">
        <f t="shared" si="7"/>
        <v>H.M</v>
      </c>
      <c r="Y40" s="13" t="s">
        <v>86</v>
      </c>
      <c r="Z40" s="8">
        <v>3779.93</v>
      </c>
    </row>
    <row r="41" spans="1:26" ht="15.75" customHeight="1" x14ac:dyDescent="0.3">
      <c r="A41" s="11" t="s">
        <v>148</v>
      </c>
      <c r="B41" s="15">
        <v>45443</v>
      </c>
      <c r="C41" s="11" t="s">
        <v>149</v>
      </c>
      <c r="D41" s="11" t="s">
        <v>150</v>
      </c>
      <c r="E41" s="11" t="s">
        <v>116</v>
      </c>
      <c r="F41" s="11" t="s">
        <v>117</v>
      </c>
      <c r="G41" s="11" t="s">
        <v>35</v>
      </c>
      <c r="H41" s="11">
        <v>1</v>
      </c>
      <c r="I41" s="11">
        <v>79.989999999999995</v>
      </c>
      <c r="J41" s="11" t="s">
        <v>22</v>
      </c>
      <c r="K41" s="11" t="s">
        <v>42</v>
      </c>
      <c r="L41" s="11" t="s">
        <v>38</v>
      </c>
      <c r="M41" s="14">
        <v>44917</v>
      </c>
      <c r="N41" s="11">
        <v>79.989999999999995</v>
      </c>
      <c r="O41" s="11" t="str">
        <f t="shared" si="0"/>
        <v>May</v>
      </c>
      <c r="P41" s="15">
        <f t="shared" ca="1" si="1"/>
        <v>46078</v>
      </c>
      <c r="Q41" s="18">
        <f t="shared" ca="1" si="8"/>
        <v>46078.801391898145</v>
      </c>
      <c r="R41" s="11">
        <f t="shared" ca="1" si="2"/>
        <v>3</v>
      </c>
      <c r="S41" s="15">
        <f t="shared" si="3"/>
        <v>45443</v>
      </c>
      <c r="T41" s="11">
        <f t="shared" si="4"/>
        <v>7309.7999999999993</v>
      </c>
      <c r="U41" s="11" t="str">
        <f t="shared" si="5"/>
        <v>Normal</v>
      </c>
      <c r="V41" s="11">
        <f t="shared" si="6"/>
        <v>14</v>
      </c>
      <c r="W41" s="6" t="str">
        <f t="shared" si="7"/>
        <v>D.K</v>
      </c>
      <c r="Y41" s="13" t="s">
        <v>105</v>
      </c>
      <c r="Z41" s="8">
        <v>3769.8300000000004</v>
      </c>
    </row>
    <row r="42" spans="1:26" ht="15.75" customHeight="1" x14ac:dyDescent="0.3">
      <c r="A42" s="11" t="s">
        <v>151</v>
      </c>
      <c r="B42" s="15">
        <v>45444</v>
      </c>
      <c r="C42" s="11" t="s">
        <v>152</v>
      </c>
      <c r="D42" s="11" t="s">
        <v>153</v>
      </c>
      <c r="E42" s="11" t="s">
        <v>33</v>
      </c>
      <c r="F42" s="11" t="s">
        <v>34</v>
      </c>
      <c r="G42" s="11" t="s">
        <v>35</v>
      </c>
      <c r="H42" s="11">
        <v>2</v>
      </c>
      <c r="I42" s="11">
        <v>59.99</v>
      </c>
      <c r="J42" s="11" t="s">
        <v>22</v>
      </c>
      <c r="K42" s="11" t="s">
        <v>52</v>
      </c>
      <c r="L42" s="11" t="s">
        <v>24</v>
      </c>
      <c r="M42" s="14">
        <v>45390</v>
      </c>
      <c r="N42" s="11">
        <v>119.98</v>
      </c>
      <c r="O42" s="11" t="str">
        <f t="shared" si="0"/>
        <v>Jun</v>
      </c>
      <c r="P42" s="15">
        <f t="shared" ca="1" si="1"/>
        <v>46078</v>
      </c>
      <c r="Q42" s="18">
        <f t="shared" ca="1" si="8"/>
        <v>46078.801391898145</v>
      </c>
      <c r="R42" s="11">
        <f t="shared" ca="1" si="2"/>
        <v>1</v>
      </c>
      <c r="S42" s="15">
        <f t="shared" si="3"/>
        <v>45473</v>
      </c>
      <c r="T42" s="11">
        <f t="shared" si="4"/>
        <v>5619.869999999999</v>
      </c>
      <c r="U42" s="11" t="str">
        <f t="shared" si="5"/>
        <v>Normal</v>
      </c>
      <c r="V42" s="11">
        <f t="shared" si="6"/>
        <v>29</v>
      </c>
      <c r="W42" s="6" t="str">
        <f t="shared" si="7"/>
        <v>S.B</v>
      </c>
      <c r="Y42" s="13" t="s">
        <v>174</v>
      </c>
      <c r="Z42" s="8">
        <v>3669.8500000000004</v>
      </c>
    </row>
    <row r="43" spans="1:26" ht="15.75" customHeight="1" x14ac:dyDescent="0.3">
      <c r="A43" s="11" t="s">
        <v>154</v>
      </c>
      <c r="B43" s="15">
        <v>45444</v>
      </c>
      <c r="C43" s="11" t="s">
        <v>57</v>
      </c>
      <c r="D43" s="11" t="s">
        <v>58</v>
      </c>
      <c r="E43" s="11" t="s">
        <v>119</v>
      </c>
      <c r="F43" s="11" t="s">
        <v>120</v>
      </c>
      <c r="G43" s="11" t="s">
        <v>21</v>
      </c>
      <c r="H43" s="11">
        <v>1</v>
      </c>
      <c r="I43" s="11">
        <v>89.99</v>
      </c>
      <c r="J43" s="11" t="s">
        <v>22</v>
      </c>
      <c r="K43" s="11" t="s">
        <v>42</v>
      </c>
      <c r="L43" s="11" t="s">
        <v>24</v>
      </c>
      <c r="M43" s="14">
        <v>45141</v>
      </c>
      <c r="N43" s="11">
        <v>89.99</v>
      </c>
      <c r="O43" s="11" t="str">
        <f t="shared" si="0"/>
        <v>Jun</v>
      </c>
      <c r="P43" s="15">
        <f t="shared" ca="1" si="1"/>
        <v>46078</v>
      </c>
      <c r="Q43" s="18">
        <f t="shared" ca="1" si="8"/>
        <v>46078.801391898145</v>
      </c>
      <c r="R43" s="11">
        <f t="shared" ca="1" si="2"/>
        <v>2</v>
      </c>
      <c r="S43" s="15">
        <f t="shared" si="3"/>
        <v>45473</v>
      </c>
      <c r="T43" s="11">
        <f t="shared" si="4"/>
        <v>5089.7300000000005</v>
      </c>
      <c r="U43" s="11" t="str">
        <f t="shared" si="5"/>
        <v>Normal</v>
      </c>
      <c r="V43" s="11">
        <f t="shared" si="6"/>
        <v>34</v>
      </c>
      <c r="W43" s="6" t="str">
        <f t="shared" si="7"/>
        <v>C.A</v>
      </c>
      <c r="Y43" s="13" t="s">
        <v>214</v>
      </c>
      <c r="Z43" s="8">
        <v>3649.8599999999997</v>
      </c>
    </row>
    <row r="44" spans="1:26" ht="15.75" customHeight="1" x14ac:dyDescent="0.3">
      <c r="A44" s="11" t="s">
        <v>155</v>
      </c>
      <c r="B44" s="15">
        <v>45446</v>
      </c>
      <c r="C44" s="11" t="s">
        <v>156</v>
      </c>
      <c r="D44" s="11" t="s">
        <v>157</v>
      </c>
      <c r="E44" s="11" t="s">
        <v>119</v>
      </c>
      <c r="F44" s="11" t="s">
        <v>120</v>
      </c>
      <c r="G44" s="11" t="s">
        <v>21</v>
      </c>
      <c r="H44" s="11">
        <v>5</v>
      </c>
      <c r="I44" s="11">
        <v>89.99</v>
      </c>
      <c r="J44" s="11" t="s">
        <v>28</v>
      </c>
      <c r="K44" s="11" t="s">
        <v>65</v>
      </c>
      <c r="L44" s="11" t="s">
        <v>38</v>
      </c>
      <c r="M44" s="14">
        <v>44587</v>
      </c>
      <c r="N44" s="11">
        <v>449.95</v>
      </c>
      <c r="O44" s="11" t="str">
        <f t="shared" si="0"/>
        <v>Jun</v>
      </c>
      <c r="P44" s="15">
        <f t="shared" ca="1" si="1"/>
        <v>46078</v>
      </c>
      <c r="Q44" s="18">
        <f t="shared" ca="1" si="8"/>
        <v>46078.801391898145</v>
      </c>
      <c r="R44" s="11">
        <f t="shared" ca="1" si="2"/>
        <v>4</v>
      </c>
      <c r="S44" s="15">
        <f t="shared" si="3"/>
        <v>45473</v>
      </c>
      <c r="T44" s="11">
        <f t="shared" si="4"/>
        <v>5499.8099999999995</v>
      </c>
      <c r="U44" s="11" t="str">
        <f t="shared" si="5"/>
        <v>Normal</v>
      </c>
      <c r="V44" s="11">
        <f t="shared" si="6"/>
        <v>34</v>
      </c>
      <c r="W44" s="6" t="str">
        <f t="shared" si="7"/>
        <v>S.D</v>
      </c>
      <c r="Y44" s="13" t="s">
        <v>62</v>
      </c>
      <c r="Z44" s="8">
        <v>3509.8999999999996</v>
      </c>
    </row>
    <row r="45" spans="1:26" ht="15.75" customHeight="1" x14ac:dyDescent="0.3">
      <c r="A45" s="11" t="s">
        <v>158</v>
      </c>
      <c r="B45" s="15">
        <v>45449</v>
      </c>
      <c r="C45" s="11" t="s">
        <v>26</v>
      </c>
      <c r="D45" s="11" t="s">
        <v>27</v>
      </c>
      <c r="E45" s="11" t="s">
        <v>19</v>
      </c>
      <c r="F45" s="11" t="s">
        <v>20</v>
      </c>
      <c r="G45" s="11" t="s">
        <v>21</v>
      </c>
      <c r="H45" s="11">
        <v>5</v>
      </c>
      <c r="I45" s="11">
        <v>249.99</v>
      </c>
      <c r="J45" s="11" t="s">
        <v>28</v>
      </c>
      <c r="K45" s="11" t="s">
        <v>65</v>
      </c>
      <c r="L45" s="11" t="s">
        <v>38</v>
      </c>
      <c r="M45" s="14">
        <v>44707</v>
      </c>
      <c r="N45" s="11">
        <v>1249.95</v>
      </c>
      <c r="O45" s="11" t="str">
        <f t="shared" si="0"/>
        <v>Jun</v>
      </c>
      <c r="P45" s="15">
        <f t="shared" ca="1" si="1"/>
        <v>46078</v>
      </c>
      <c r="Q45" s="18">
        <f t="shared" ca="1" si="8"/>
        <v>46078.801391898145</v>
      </c>
      <c r="R45" s="11">
        <f t="shared" ca="1" si="2"/>
        <v>3</v>
      </c>
      <c r="S45" s="15">
        <f t="shared" si="3"/>
        <v>45473</v>
      </c>
      <c r="T45" s="11">
        <f t="shared" si="4"/>
        <v>6949.84</v>
      </c>
      <c r="U45" s="11" t="str">
        <f t="shared" si="5"/>
        <v>Normal</v>
      </c>
      <c r="V45" s="11">
        <f t="shared" si="6"/>
        <v>26</v>
      </c>
      <c r="W45" s="6" t="str">
        <f t="shared" si="7"/>
        <v>J.J</v>
      </c>
      <c r="Y45" s="13" t="s">
        <v>32</v>
      </c>
      <c r="Z45" s="8">
        <v>3259.87</v>
      </c>
    </row>
    <row r="46" spans="1:26" ht="15.75" customHeight="1" x14ac:dyDescent="0.3">
      <c r="A46" s="11" t="s">
        <v>159</v>
      </c>
      <c r="B46" s="15">
        <v>45449</v>
      </c>
      <c r="C46" s="11" t="s">
        <v>160</v>
      </c>
      <c r="D46" s="11" t="s">
        <v>161</v>
      </c>
      <c r="E46" s="11" t="s">
        <v>119</v>
      </c>
      <c r="F46" s="11" t="s">
        <v>120</v>
      </c>
      <c r="G46" s="11" t="s">
        <v>21</v>
      </c>
      <c r="H46" s="11">
        <v>1</v>
      </c>
      <c r="I46" s="11">
        <v>89.99</v>
      </c>
      <c r="J46" s="11" t="s">
        <v>28</v>
      </c>
      <c r="K46" s="11" t="s">
        <v>37</v>
      </c>
      <c r="L46" s="11" t="s">
        <v>38</v>
      </c>
      <c r="M46" s="14">
        <v>44582</v>
      </c>
      <c r="N46" s="11">
        <v>89.99</v>
      </c>
      <c r="O46" s="11" t="str">
        <f t="shared" si="0"/>
        <v>Jun</v>
      </c>
      <c r="P46" s="15">
        <f t="shared" ca="1" si="1"/>
        <v>46078</v>
      </c>
      <c r="Q46" s="18">
        <f t="shared" ca="1" si="8"/>
        <v>46078.801391898145</v>
      </c>
      <c r="R46" s="11">
        <f t="shared" ca="1" si="2"/>
        <v>4</v>
      </c>
      <c r="S46" s="15">
        <f t="shared" si="3"/>
        <v>45473</v>
      </c>
      <c r="T46" s="11">
        <f t="shared" si="4"/>
        <v>5649.84</v>
      </c>
      <c r="U46" s="11" t="str">
        <f t="shared" si="5"/>
        <v>Normal</v>
      </c>
      <c r="V46" s="11">
        <f t="shared" si="6"/>
        <v>34</v>
      </c>
      <c r="W46" s="6" t="str">
        <f t="shared" si="7"/>
        <v>B.C</v>
      </c>
      <c r="Y46" s="13" t="s">
        <v>141</v>
      </c>
      <c r="Z46" s="8">
        <v>2649.83</v>
      </c>
    </row>
    <row r="47" spans="1:26" ht="15.75" customHeight="1" x14ac:dyDescent="0.3">
      <c r="A47" s="11" t="s">
        <v>162</v>
      </c>
      <c r="B47" s="15">
        <v>45450</v>
      </c>
      <c r="C47" s="11" t="s">
        <v>44</v>
      </c>
      <c r="D47" s="11" t="s">
        <v>45</v>
      </c>
      <c r="E47" s="11" t="s">
        <v>46</v>
      </c>
      <c r="F47" s="11" t="s">
        <v>47</v>
      </c>
      <c r="G47" s="11" t="s">
        <v>48</v>
      </c>
      <c r="H47" s="11">
        <v>2</v>
      </c>
      <c r="I47" s="11">
        <v>149.99</v>
      </c>
      <c r="J47" s="11" t="s">
        <v>22</v>
      </c>
      <c r="K47" s="11" t="s">
        <v>65</v>
      </c>
      <c r="L47" s="11" t="s">
        <v>29</v>
      </c>
      <c r="M47" s="14">
        <v>44645</v>
      </c>
      <c r="N47" s="11">
        <v>299.98</v>
      </c>
      <c r="O47" s="11" t="str">
        <f t="shared" si="0"/>
        <v>Jun</v>
      </c>
      <c r="P47" s="15">
        <f t="shared" ca="1" si="1"/>
        <v>46078</v>
      </c>
      <c r="Q47" s="18">
        <f t="shared" ca="1" si="8"/>
        <v>46078.801391898145</v>
      </c>
      <c r="R47" s="11">
        <f t="shared" ca="1" si="2"/>
        <v>3</v>
      </c>
      <c r="S47" s="15">
        <f t="shared" si="3"/>
        <v>45473</v>
      </c>
      <c r="T47" s="11">
        <f t="shared" si="4"/>
        <v>6169.7400000000007</v>
      </c>
      <c r="U47" s="11" t="str">
        <f t="shared" si="5"/>
        <v>Normal</v>
      </c>
      <c r="V47" s="11">
        <f t="shared" si="6"/>
        <v>35</v>
      </c>
      <c r="W47" s="6" t="str">
        <f t="shared" si="7"/>
        <v>M.B</v>
      </c>
      <c r="Y47" s="13" t="s">
        <v>188</v>
      </c>
      <c r="Z47" s="8">
        <v>2099.88</v>
      </c>
    </row>
    <row r="48" spans="1:26" ht="15.75" customHeight="1" x14ac:dyDescent="0.3">
      <c r="A48" s="11" t="s">
        <v>163</v>
      </c>
      <c r="B48" s="15">
        <v>45452</v>
      </c>
      <c r="C48" s="11" t="s">
        <v>164</v>
      </c>
      <c r="D48" s="11" t="s">
        <v>165</v>
      </c>
      <c r="E48" s="11" t="s">
        <v>33</v>
      </c>
      <c r="F48" s="11" t="s">
        <v>34</v>
      </c>
      <c r="G48" s="11" t="s">
        <v>35</v>
      </c>
      <c r="H48" s="11">
        <v>4</v>
      </c>
      <c r="I48" s="11">
        <v>59.99</v>
      </c>
      <c r="J48" s="11" t="s">
        <v>22</v>
      </c>
      <c r="K48" s="11" t="s">
        <v>65</v>
      </c>
      <c r="L48" s="11" t="s">
        <v>38</v>
      </c>
      <c r="M48" s="14">
        <v>44435</v>
      </c>
      <c r="N48" s="11">
        <v>239.96</v>
      </c>
      <c r="O48" s="11" t="str">
        <f t="shared" si="0"/>
        <v>Jun</v>
      </c>
      <c r="P48" s="15">
        <f t="shared" ca="1" si="1"/>
        <v>46078</v>
      </c>
      <c r="Q48" s="18">
        <f t="shared" ca="1" si="8"/>
        <v>46078.801391898145</v>
      </c>
      <c r="R48" s="11">
        <f t="shared" ca="1" si="2"/>
        <v>4</v>
      </c>
      <c r="S48" s="15">
        <f t="shared" si="3"/>
        <v>45473</v>
      </c>
      <c r="T48" s="11">
        <f t="shared" si="4"/>
        <v>239.96</v>
      </c>
      <c r="U48" s="11" t="str">
        <f t="shared" si="5"/>
        <v>Normal</v>
      </c>
      <c r="V48" s="11">
        <f t="shared" si="6"/>
        <v>29</v>
      </c>
      <c r="W48" s="6" t="str">
        <f t="shared" si="7"/>
        <v>J.F</v>
      </c>
      <c r="Y48" s="13" t="s">
        <v>132</v>
      </c>
      <c r="Z48" s="8">
        <v>2039.8000000000002</v>
      </c>
    </row>
    <row r="49" spans="1:26" ht="15.75" customHeight="1" x14ac:dyDescent="0.3">
      <c r="A49" s="11" t="s">
        <v>166</v>
      </c>
      <c r="B49" s="15">
        <v>45456</v>
      </c>
      <c r="C49" s="11" t="s">
        <v>131</v>
      </c>
      <c r="D49" s="11" t="s">
        <v>132</v>
      </c>
      <c r="E49" s="11" t="s">
        <v>119</v>
      </c>
      <c r="F49" s="11" t="s">
        <v>120</v>
      </c>
      <c r="G49" s="11" t="s">
        <v>21</v>
      </c>
      <c r="H49" s="11">
        <v>5</v>
      </c>
      <c r="I49" s="11">
        <v>89.99</v>
      </c>
      <c r="J49" s="11" t="s">
        <v>22</v>
      </c>
      <c r="K49" s="11" t="s">
        <v>23</v>
      </c>
      <c r="L49" s="11" t="s">
        <v>29</v>
      </c>
      <c r="M49" s="14">
        <v>44579</v>
      </c>
      <c r="N49" s="11">
        <v>449.95</v>
      </c>
      <c r="O49" s="11" t="str">
        <f t="shared" si="0"/>
        <v>Jun</v>
      </c>
      <c r="P49" s="15">
        <f t="shared" ca="1" si="1"/>
        <v>46078</v>
      </c>
      <c r="Q49" s="18">
        <f t="shared" ca="1" si="8"/>
        <v>46078.801391898145</v>
      </c>
      <c r="R49" s="11">
        <f t="shared" ca="1" si="2"/>
        <v>4</v>
      </c>
      <c r="S49" s="15">
        <f t="shared" si="3"/>
        <v>45473</v>
      </c>
      <c r="T49" s="11">
        <f t="shared" si="4"/>
        <v>2039.8000000000002</v>
      </c>
      <c r="U49" s="11" t="str">
        <f t="shared" si="5"/>
        <v>Normal</v>
      </c>
      <c r="V49" s="11">
        <f t="shared" si="6"/>
        <v>34</v>
      </c>
      <c r="W49" s="6" t="str">
        <f t="shared" si="7"/>
        <v>L.A</v>
      </c>
      <c r="Y49" s="13" t="s">
        <v>71</v>
      </c>
      <c r="Z49" s="8">
        <v>1979.89</v>
      </c>
    </row>
    <row r="50" spans="1:26" ht="15.75" customHeight="1" x14ac:dyDescent="0.3">
      <c r="A50" s="11" t="s">
        <v>167</v>
      </c>
      <c r="B50" s="15">
        <v>45459</v>
      </c>
      <c r="C50" s="11" t="s">
        <v>101</v>
      </c>
      <c r="D50" s="11" t="s">
        <v>102</v>
      </c>
      <c r="E50" s="11" t="s">
        <v>119</v>
      </c>
      <c r="F50" s="11" t="s">
        <v>120</v>
      </c>
      <c r="G50" s="11" t="s">
        <v>21</v>
      </c>
      <c r="H50" s="11">
        <v>2</v>
      </c>
      <c r="I50" s="11">
        <v>89.99</v>
      </c>
      <c r="J50" s="11" t="s">
        <v>28</v>
      </c>
      <c r="K50" s="11" t="s">
        <v>37</v>
      </c>
      <c r="L50" s="11" t="s">
        <v>29</v>
      </c>
      <c r="M50" s="14">
        <v>44471</v>
      </c>
      <c r="N50" s="11">
        <v>179.98</v>
      </c>
      <c r="O50" s="11" t="str">
        <f t="shared" si="0"/>
        <v>Jun</v>
      </c>
      <c r="P50" s="15">
        <f t="shared" ca="1" si="1"/>
        <v>46078</v>
      </c>
      <c r="Q50" s="18">
        <f t="shared" ca="1" si="8"/>
        <v>46078.801391898145</v>
      </c>
      <c r="R50" s="11">
        <f t="shared" ca="1" si="2"/>
        <v>4</v>
      </c>
      <c r="S50" s="15">
        <f t="shared" si="3"/>
        <v>45473</v>
      </c>
      <c r="T50" s="11">
        <f t="shared" si="4"/>
        <v>9799.73</v>
      </c>
      <c r="U50" s="11" t="str">
        <f t="shared" si="5"/>
        <v>Normal</v>
      </c>
      <c r="V50" s="11">
        <f t="shared" si="6"/>
        <v>34</v>
      </c>
      <c r="W50" s="6" t="str">
        <f t="shared" si="7"/>
        <v>P.M</v>
      </c>
      <c r="Y50" s="13" t="s">
        <v>92</v>
      </c>
      <c r="Z50" s="8">
        <v>1909.93</v>
      </c>
    </row>
    <row r="51" spans="1:26" ht="15.75" customHeight="1" x14ac:dyDescent="0.3">
      <c r="A51" s="11" t="s">
        <v>168</v>
      </c>
      <c r="B51" s="15">
        <v>45459</v>
      </c>
      <c r="C51" s="11" t="s">
        <v>17</v>
      </c>
      <c r="D51" s="11" t="s">
        <v>18</v>
      </c>
      <c r="E51" s="11" t="s">
        <v>63</v>
      </c>
      <c r="F51" s="11" t="s">
        <v>64</v>
      </c>
      <c r="G51" s="11" t="s">
        <v>21</v>
      </c>
      <c r="H51" s="11">
        <v>5</v>
      </c>
      <c r="I51" s="11">
        <v>899.99</v>
      </c>
      <c r="J51" s="11" t="s">
        <v>28</v>
      </c>
      <c r="K51" s="11" t="s">
        <v>37</v>
      </c>
      <c r="L51" s="11" t="s">
        <v>38</v>
      </c>
      <c r="M51" s="14">
        <v>44974</v>
      </c>
      <c r="N51" s="11">
        <v>4499.95</v>
      </c>
      <c r="O51" s="11" t="str">
        <f t="shared" si="0"/>
        <v>Jun</v>
      </c>
      <c r="P51" s="15">
        <f t="shared" ca="1" si="1"/>
        <v>46078</v>
      </c>
      <c r="Q51" s="18">
        <f t="shared" ca="1" si="8"/>
        <v>46078.801391898145</v>
      </c>
      <c r="R51" s="11">
        <f t="shared" ca="1" si="2"/>
        <v>3</v>
      </c>
      <c r="S51" s="15">
        <f t="shared" si="3"/>
        <v>45473</v>
      </c>
      <c r="T51" s="11">
        <f t="shared" si="4"/>
        <v>8309.739999999998</v>
      </c>
      <c r="U51" s="11" t="str">
        <f t="shared" si="5"/>
        <v>Normal</v>
      </c>
      <c r="V51" s="11">
        <f t="shared" si="6"/>
        <v>24</v>
      </c>
      <c r="W51" s="6" t="str">
        <f t="shared" si="7"/>
        <v>P.B</v>
      </c>
      <c r="Y51" s="13" t="s">
        <v>185</v>
      </c>
      <c r="Z51" s="8">
        <v>1809.84</v>
      </c>
    </row>
    <row r="52" spans="1:26" ht="15.75" customHeight="1" x14ac:dyDescent="0.3">
      <c r="A52" s="11" t="s">
        <v>169</v>
      </c>
      <c r="B52" s="15">
        <v>45459</v>
      </c>
      <c r="C52" s="11" t="s">
        <v>125</v>
      </c>
      <c r="D52" s="11" t="s">
        <v>126</v>
      </c>
      <c r="E52" s="11" t="s">
        <v>63</v>
      </c>
      <c r="F52" s="11" t="s">
        <v>64</v>
      </c>
      <c r="G52" s="11" t="s">
        <v>21</v>
      </c>
      <c r="H52" s="11">
        <v>5</v>
      </c>
      <c r="I52" s="11">
        <v>899.99</v>
      </c>
      <c r="J52" s="11" t="s">
        <v>36</v>
      </c>
      <c r="K52" s="11" t="s">
        <v>65</v>
      </c>
      <c r="L52" s="11" t="s">
        <v>29</v>
      </c>
      <c r="M52" s="14">
        <v>45278</v>
      </c>
      <c r="N52" s="11">
        <v>4499.95</v>
      </c>
      <c r="O52" s="11" t="str">
        <f t="shared" si="0"/>
        <v>Jun</v>
      </c>
      <c r="P52" s="15">
        <f t="shared" ca="1" si="1"/>
        <v>46078</v>
      </c>
      <c r="Q52" s="18">
        <f t="shared" ca="1" si="8"/>
        <v>46078.801391898145</v>
      </c>
      <c r="R52" s="11">
        <f t="shared" ca="1" si="2"/>
        <v>2</v>
      </c>
      <c r="S52" s="15">
        <f t="shared" si="3"/>
        <v>45473</v>
      </c>
      <c r="T52" s="11">
        <f t="shared" si="4"/>
        <v>11919.769999999999</v>
      </c>
      <c r="U52" s="11" t="str">
        <f t="shared" si="5"/>
        <v>High</v>
      </c>
      <c r="V52" s="11">
        <f t="shared" si="6"/>
        <v>24</v>
      </c>
      <c r="W52" s="6" t="str">
        <f t="shared" si="7"/>
        <v>E.M</v>
      </c>
      <c r="Y52" s="13" t="s">
        <v>249</v>
      </c>
      <c r="Z52" s="8">
        <v>1749.92</v>
      </c>
    </row>
    <row r="53" spans="1:26" ht="15.75" customHeight="1" x14ac:dyDescent="0.3">
      <c r="A53" s="11" t="s">
        <v>170</v>
      </c>
      <c r="B53" s="15">
        <v>45460</v>
      </c>
      <c r="C53" s="11" t="s">
        <v>160</v>
      </c>
      <c r="D53" s="11" t="s">
        <v>161</v>
      </c>
      <c r="E53" s="11" t="s">
        <v>33</v>
      </c>
      <c r="F53" s="11" t="s">
        <v>34</v>
      </c>
      <c r="G53" s="11" t="s">
        <v>35</v>
      </c>
      <c r="H53" s="11">
        <v>1</v>
      </c>
      <c r="I53" s="11">
        <v>59.99</v>
      </c>
      <c r="J53" s="11" t="s">
        <v>59</v>
      </c>
      <c r="K53" s="11" t="s">
        <v>52</v>
      </c>
      <c r="L53" s="11" t="s">
        <v>29</v>
      </c>
      <c r="M53" s="14">
        <v>45190</v>
      </c>
      <c r="N53" s="11">
        <v>59.99</v>
      </c>
      <c r="O53" s="11" t="str">
        <f t="shared" si="0"/>
        <v>Jun</v>
      </c>
      <c r="P53" s="15">
        <f t="shared" ca="1" si="1"/>
        <v>46078</v>
      </c>
      <c r="Q53" s="18">
        <f t="shared" ca="1" si="8"/>
        <v>46078.801391898145</v>
      </c>
      <c r="R53" s="11">
        <f t="shared" ca="1" si="2"/>
        <v>2</v>
      </c>
      <c r="S53" s="15">
        <f t="shared" si="3"/>
        <v>45473</v>
      </c>
      <c r="T53" s="11">
        <f t="shared" si="4"/>
        <v>5649.84</v>
      </c>
      <c r="U53" s="11" t="str">
        <f t="shared" si="5"/>
        <v>Normal</v>
      </c>
      <c r="V53" s="11">
        <f t="shared" si="6"/>
        <v>29</v>
      </c>
      <c r="W53" s="6" t="str">
        <f t="shared" si="7"/>
        <v>B.C</v>
      </c>
      <c r="Y53" s="13" t="s">
        <v>328</v>
      </c>
      <c r="Z53" s="8">
        <v>1559.94</v>
      </c>
    </row>
    <row r="54" spans="1:26" ht="15.75" customHeight="1" x14ac:dyDescent="0.3">
      <c r="A54" s="11" t="s">
        <v>171</v>
      </c>
      <c r="B54" s="15">
        <v>45460</v>
      </c>
      <c r="C54" s="11" t="s">
        <v>143</v>
      </c>
      <c r="D54" s="11" t="s">
        <v>144</v>
      </c>
      <c r="E54" s="11" t="s">
        <v>107</v>
      </c>
      <c r="F54" s="11" t="s">
        <v>108</v>
      </c>
      <c r="G54" s="11" t="s">
        <v>48</v>
      </c>
      <c r="H54" s="11">
        <v>2</v>
      </c>
      <c r="I54" s="11">
        <v>299.99</v>
      </c>
      <c r="J54" s="11" t="s">
        <v>59</v>
      </c>
      <c r="K54" s="11" t="s">
        <v>65</v>
      </c>
      <c r="L54" s="11" t="s">
        <v>38</v>
      </c>
      <c r="M54" s="14">
        <v>45253</v>
      </c>
      <c r="N54" s="11">
        <v>599.98</v>
      </c>
      <c r="O54" s="11" t="str">
        <f t="shared" si="0"/>
        <v>Jun</v>
      </c>
      <c r="P54" s="15">
        <f t="shared" ca="1" si="1"/>
        <v>46078</v>
      </c>
      <c r="Q54" s="18">
        <f t="shared" ca="1" si="8"/>
        <v>46078.801391898145</v>
      </c>
      <c r="R54" s="11">
        <f t="shared" ca="1" si="2"/>
        <v>2</v>
      </c>
      <c r="S54" s="15">
        <f t="shared" si="3"/>
        <v>45473</v>
      </c>
      <c r="T54" s="11">
        <f t="shared" si="4"/>
        <v>4739.8500000000004</v>
      </c>
      <c r="U54" s="11" t="str">
        <f t="shared" si="5"/>
        <v>Normal</v>
      </c>
      <c r="V54" s="11">
        <f t="shared" si="6"/>
        <v>26</v>
      </c>
      <c r="W54" s="6" t="str">
        <f t="shared" si="7"/>
        <v>J.T</v>
      </c>
      <c r="Y54" s="13" t="s">
        <v>195</v>
      </c>
      <c r="Z54" s="8">
        <v>1479.91</v>
      </c>
    </row>
    <row r="55" spans="1:26" ht="15.75" customHeight="1" x14ac:dyDescent="0.3">
      <c r="A55" s="11" t="s">
        <v>172</v>
      </c>
      <c r="B55" s="15">
        <v>45468</v>
      </c>
      <c r="C55" s="11" t="s">
        <v>173</v>
      </c>
      <c r="D55" s="11" t="s">
        <v>174</v>
      </c>
      <c r="E55" s="11" t="s">
        <v>119</v>
      </c>
      <c r="F55" s="11" t="s">
        <v>120</v>
      </c>
      <c r="G55" s="11" t="s">
        <v>21</v>
      </c>
      <c r="H55" s="11">
        <v>4</v>
      </c>
      <c r="I55" s="11">
        <v>89.99</v>
      </c>
      <c r="J55" s="11" t="s">
        <v>59</v>
      </c>
      <c r="K55" s="11" t="s">
        <v>37</v>
      </c>
      <c r="L55" s="11" t="s">
        <v>24</v>
      </c>
      <c r="M55" s="14">
        <v>45281</v>
      </c>
      <c r="N55" s="11">
        <v>359.96</v>
      </c>
      <c r="O55" s="11" t="str">
        <f t="shared" si="0"/>
        <v>Jun</v>
      </c>
      <c r="P55" s="15">
        <f t="shared" ca="1" si="1"/>
        <v>46078</v>
      </c>
      <c r="Q55" s="18">
        <f t="shared" ca="1" si="8"/>
        <v>46078.801391898145</v>
      </c>
      <c r="R55" s="11">
        <f t="shared" ca="1" si="2"/>
        <v>2</v>
      </c>
      <c r="S55" s="15">
        <f t="shared" si="3"/>
        <v>45473</v>
      </c>
      <c r="T55" s="11">
        <f t="shared" si="4"/>
        <v>3669.8500000000004</v>
      </c>
      <c r="U55" s="11" t="str">
        <f t="shared" si="5"/>
        <v>Normal</v>
      </c>
      <c r="V55" s="11">
        <f t="shared" si="6"/>
        <v>34</v>
      </c>
      <c r="W55" s="6" t="str">
        <f t="shared" si="7"/>
        <v>R.R</v>
      </c>
      <c r="Y55" s="13" t="s">
        <v>115</v>
      </c>
      <c r="Z55" s="8">
        <v>1289.9000000000001</v>
      </c>
    </row>
    <row r="56" spans="1:26" ht="15.75" customHeight="1" x14ac:dyDescent="0.3">
      <c r="A56" s="11" t="s">
        <v>175</v>
      </c>
      <c r="B56" s="15">
        <v>45469</v>
      </c>
      <c r="C56" s="11" t="s">
        <v>31</v>
      </c>
      <c r="D56" s="11" t="s">
        <v>32</v>
      </c>
      <c r="E56" s="11" t="s">
        <v>116</v>
      </c>
      <c r="F56" s="11" t="s">
        <v>117</v>
      </c>
      <c r="G56" s="11" t="s">
        <v>35</v>
      </c>
      <c r="H56" s="11">
        <v>1</v>
      </c>
      <c r="I56" s="11">
        <v>79.989999999999995</v>
      </c>
      <c r="J56" s="11" t="s">
        <v>36</v>
      </c>
      <c r="K56" s="11" t="s">
        <v>23</v>
      </c>
      <c r="L56" s="11" t="s">
        <v>29</v>
      </c>
      <c r="M56" s="14">
        <v>45352</v>
      </c>
      <c r="N56" s="11">
        <v>79.989999999999995</v>
      </c>
      <c r="O56" s="11" t="str">
        <f t="shared" si="0"/>
        <v>Jun</v>
      </c>
      <c r="P56" s="15">
        <f t="shared" ca="1" si="1"/>
        <v>46078</v>
      </c>
      <c r="Q56" s="18">
        <f t="shared" ca="1" si="8"/>
        <v>46078.801391898145</v>
      </c>
      <c r="R56" s="11">
        <f t="shared" ca="1" si="2"/>
        <v>1</v>
      </c>
      <c r="S56" s="15">
        <f t="shared" si="3"/>
        <v>45473</v>
      </c>
      <c r="T56" s="11">
        <f t="shared" si="4"/>
        <v>3259.87</v>
      </c>
      <c r="U56" s="11" t="str">
        <f t="shared" si="5"/>
        <v>Normal</v>
      </c>
      <c r="V56" s="11">
        <f t="shared" si="6"/>
        <v>14</v>
      </c>
      <c r="W56" s="6" t="str">
        <f t="shared" si="7"/>
        <v>K.S</v>
      </c>
      <c r="Y56" s="13" t="s">
        <v>135</v>
      </c>
      <c r="Z56" s="8">
        <v>1229.8800000000001</v>
      </c>
    </row>
    <row r="57" spans="1:26" ht="15.75" customHeight="1" x14ac:dyDescent="0.3">
      <c r="A57" s="11" t="s">
        <v>176</v>
      </c>
      <c r="B57" s="15">
        <v>45469</v>
      </c>
      <c r="C57" s="11" t="s">
        <v>61</v>
      </c>
      <c r="D57" s="11" t="s">
        <v>62</v>
      </c>
      <c r="E57" s="11" t="s">
        <v>119</v>
      </c>
      <c r="F57" s="11" t="s">
        <v>120</v>
      </c>
      <c r="G57" s="11" t="s">
        <v>21</v>
      </c>
      <c r="H57" s="11">
        <v>2</v>
      </c>
      <c r="I57" s="11">
        <v>89.99</v>
      </c>
      <c r="J57" s="11" t="s">
        <v>22</v>
      </c>
      <c r="K57" s="11" t="s">
        <v>52</v>
      </c>
      <c r="L57" s="11" t="s">
        <v>24</v>
      </c>
      <c r="M57" s="14">
        <v>44438</v>
      </c>
      <c r="N57" s="11">
        <v>179.98</v>
      </c>
      <c r="O57" s="11" t="str">
        <f t="shared" si="0"/>
        <v>Jun</v>
      </c>
      <c r="P57" s="15">
        <f t="shared" ca="1" si="1"/>
        <v>46078</v>
      </c>
      <c r="Q57" s="18">
        <f t="shared" ca="1" si="8"/>
        <v>46078.801391898145</v>
      </c>
      <c r="R57" s="11">
        <f t="shared" ca="1" si="2"/>
        <v>4</v>
      </c>
      <c r="S57" s="15">
        <f t="shared" si="3"/>
        <v>45473</v>
      </c>
      <c r="T57" s="11">
        <f t="shared" si="4"/>
        <v>3509.8999999999996</v>
      </c>
      <c r="U57" s="11" t="str">
        <f t="shared" si="5"/>
        <v>Normal</v>
      </c>
      <c r="V57" s="11">
        <f t="shared" si="6"/>
        <v>34</v>
      </c>
      <c r="W57" s="6" t="str">
        <f t="shared" si="7"/>
        <v>R.T</v>
      </c>
      <c r="Y57" s="13" t="s">
        <v>234</v>
      </c>
      <c r="Z57" s="8">
        <v>1149.93</v>
      </c>
    </row>
    <row r="58" spans="1:26" ht="15.75" customHeight="1" x14ac:dyDescent="0.3">
      <c r="A58" s="11" t="s">
        <v>177</v>
      </c>
      <c r="B58" s="15">
        <v>45471</v>
      </c>
      <c r="C58" s="11" t="s">
        <v>40</v>
      </c>
      <c r="D58" s="11" t="s">
        <v>41</v>
      </c>
      <c r="E58" s="11" t="s">
        <v>82</v>
      </c>
      <c r="F58" s="11" t="s">
        <v>83</v>
      </c>
      <c r="G58" s="11" t="s">
        <v>21</v>
      </c>
      <c r="H58" s="11">
        <v>3</v>
      </c>
      <c r="I58" s="11">
        <v>699.99</v>
      </c>
      <c r="J58" s="11" t="s">
        <v>28</v>
      </c>
      <c r="K58" s="11" t="s">
        <v>65</v>
      </c>
      <c r="L58" s="11" t="s">
        <v>29</v>
      </c>
      <c r="M58" s="14">
        <v>45102</v>
      </c>
      <c r="N58" s="11">
        <v>2099.9699999999998</v>
      </c>
      <c r="O58" s="11" t="str">
        <f t="shared" si="0"/>
        <v>Jun</v>
      </c>
      <c r="P58" s="15">
        <f t="shared" ca="1" si="1"/>
        <v>46078</v>
      </c>
      <c r="Q58" s="18">
        <f t="shared" ca="1" si="8"/>
        <v>46078.801391898145</v>
      </c>
      <c r="R58" s="11">
        <f t="shared" ca="1" si="2"/>
        <v>2</v>
      </c>
      <c r="S58" s="15">
        <f t="shared" si="3"/>
        <v>45473</v>
      </c>
      <c r="T58" s="11">
        <f t="shared" si="4"/>
        <v>4309.8099999999995</v>
      </c>
      <c r="U58" s="11" t="str">
        <f t="shared" si="5"/>
        <v>Normal</v>
      </c>
      <c r="V58" s="11">
        <f t="shared" si="6"/>
        <v>31</v>
      </c>
      <c r="W58" s="6" t="str">
        <f t="shared" si="7"/>
        <v>K.B</v>
      </c>
      <c r="Y58" s="13" t="s">
        <v>262</v>
      </c>
      <c r="Z58" s="8">
        <v>739.93000000000006</v>
      </c>
    </row>
    <row r="59" spans="1:26" ht="15.75" customHeight="1" x14ac:dyDescent="0.3">
      <c r="A59" s="11" t="s">
        <v>178</v>
      </c>
      <c r="B59" s="15">
        <v>45471</v>
      </c>
      <c r="C59" s="11" t="s">
        <v>101</v>
      </c>
      <c r="D59" s="11" t="s">
        <v>102</v>
      </c>
      <c r="E59" s="11" t="s">
        <v>63</v>
      </c>
      <c r="F59" s="11" t="s">
        <v>64</v>
      </c>
      <c r="G59" s="11" t="s">
        <v>21</v>
      </c>
      <c r="H59" s="11">
        <v>4</v>
      </c>
      <c r="I59" s="11">
        <v>899.99</v>
      </c>
      <c r="J59" s="11" t="s">
        <v>28</v>
      </c>
      <c r="K59" s="11" t="s">
        <v>65</v>
      </c>
      <c r="L59" s="11" t="s">
        <v>29</v>
      </c>
      <c r="M59" s="14">
        <v>44993</v>
      </c>
      <c r="N59" s="11">
        <v>3599.96</v>
      </c>
      <c r="O59" s="11" t="str">
        <f t="shared" si="0"/>
        <v>Jun</v>
      </c>
      <c r="P59" s="15">
        <f t="shared" ca="1" si="1"/>
        <v>46078</v>
      </c>
      <c r="Q59" s="18">
        <f t="shared" ca="1" si="8"/>
        <v>46078.801391898145</v>
      </c>
      <c r="R59" s="11">
        <f t="shared" ca="1" si="2"/>
        <v>2</v>
      </c>
      <c r="S59" s="15">
        <f t="shared" si="3"/>
        <v>45473</v>
      </c>
      <c r="T59" s="11">
        <f t="shared" si="4"/>
        <v>9799.73</v>
      </c>
      <c r="U59" s="11" t="str">
        <f t="shared" si="5"/>
        <v>Normal</v>
      </c>
      <c r="V59" s="11">
        <f t="shared" si="6"/>
        <v>24</v>
      </c>
      <c r="W59" s="6" t="str">
        <f t="shared" si="7"/>
        <v>P.M</v>
      </c>
      <c r="Y59" s="13" t="s">
        <v>389</v>
      </c>
      <c r="Z59" s="8">
        <v>599.96</v>
      </c>
    </row>
    <row r="60" spans="1:26" ht="15.75" customHeight="1" x14ac:dyDescent="0.3">
      <c r="A60" s="11" t="s">
        <v>179</v>
      </c>
      <c r="B60" s="15">
        <v>45472</v>
      </c>
      <c r="C60" s="11" t="s">
        <v>122</v>
      </c>
      <c r="D60" s="11" t="s">
        <v>123</v>
      </c>
      <c r="E60" s="11" t="s">
        <v>46</v>
      </c>
      <c r="F60" s="11" t="s">
        <v>47</v>
      </c>
      <c r="G60" s="11" t="s">
        <v>48</v>
      </c>
      <c r="H60" s="11">
        <v>1</v>
      </c>
      <c r="I60" s="11">
        <v>149.99</v>
      </c>
      <c r="J60" s="11" t="s">
        <v>36</v>
      </c>
      <c r="K60" s="11" t="s">
        <v>65</v>
      </c>
      <c r="L60" s="11" t="s">
        <v>24</v>
      </c>
      <c r="M60" s="14">
        <v>44851</v>
      </c>
      <c r="N60" s="11">
        <v>149.99</v>
      </c>
      <c r="O60" s="11" t="str">
        <f t="shared" si="0"/>
        <v>Jun</v>
      </c>
      <c r="P60" s="15">
        <f t="shared" ca="1" si="1"/>
        <v>46078</v>
      </c>
      <c r="Q60" s="18">
        <f t="shared" ca="1" si="8"/>
        <v>46078.801391898145</v>
      </c>
      <c r="R60" s="11">
        <f t="shared" ca="1" si="2"/>
        <v>3</v>
      </c>
      <c r="S60" s="15">
        <f t="shared" si="3"/>
        <v>45473</v>
      </c>
      <c r="T60" s="11">
        <f t="shared" si="4"/>
        <v>6459.79</v>
      </c>
      <c r="U60" s="11" t="str">
        <f t="shared" si="5"/>
        <v>Normal</v>
      </c>
      <c r="V60" s="11">
        <f t="shared" si="6"/>
        <v>35</v>
      </c>
      <c r="W60" s="6" t="str">
        <f t="shared" si="7"/>
        <v>H.R</v>
      </c>
      <c r="Y60" s="13" t="s">
        <v>78</v>
      </c>
      <c r="Z60" s="8">
        <v>479.91999999999996</v>
      </c>
    </row>
    <row r="61" spans="1:26" ht="15.75" customHeight="1" x14ac:dyDescent="0.3">
      <c r="A61" s="11" t="s">
        <v>180</v>
      </c>
      <c r="B61" s="15">
        <v>45474</v>
      </c>
      <c r="C61" s="11" t="s">
        <v>134</v>
      </c>
      <c r="D61" s="11" t="s">
        <v>135</v>
      </c>
      <c r="E61" s="11" t="s">
        <v>119</v>
      </c>
      <c r="F61" s="11" t="s">
        <v>120</v>
      </c>
      <c r="G61" s="11" t="s">
        <v>21</v>
      </c>
      <c r="H61" s="11">
        <v>2</v>
      </c>
      <c r="I61" s="11">
        <v>89.99</v>
      </c>
      <c r="J61" s="11" t="s">
        <v>36</v>
      </c>
      <c r="K61" s="11" t="s">
        <v>23</v>
      </c>
      <c r="L61" s="11" t="s">
        <v>29</v>
      </c>
      <c r="M61" s="14">
        <v>45275</v>
      </c>
      <c r="N61" s="11">
        <v>179.98</v>
      </c>
      <c r="O61" s="11" t="str">
        <f t="shared" si="0"/>
        <v>Jul</v>
      </c>
      <c r="P61" s="15">
        <f t="shared" ca="1" si="1"/>
        <v>46078</v>
      </c>
      <c r="Q61" s="18">
        <f t="shared" ca="1" si="8"/>
        <v>46078.801391898145</v>
      </c>
      <c r="R61" s="11">
        <f t="shared" ca="1" si="2"/>
        <v>2</v>
      </c>
      <c r="S61" s="15">
        <f t="shared" si="3"/>
        <v>45504</v>
      </c>
      <c r="T61" s="11">
        <f t="shared" si="4"/>
        <v>1229.8800000000001</v>
      </c>
      <c r="U61" s="11" t="str">
        <f t="shared" si="5"/>
        <v>Normal</v>
      </c>
      <c r="V61" s="11">
        <f t="shared" si="6"/>
        <v>34</v>
      </c>
      <c r="W61" s="6" t="str">
        <f t="shared" si="7"/>
        <v>E.W</v>
      </c>
      <c r="Y61" s="13" t="s">
        <v>165</v>
      </c>
      <c r="Z61" s="8">
        <v>239.96</v>
      </c>
    </row>
    <row r="62" spans="1:26" ht="15.75" customHeight="1" x14ac:dyDescent="0.3">
      <c r="A62" s="11" t="s">
        <v>181</v>
      </c>
      <c r="B62" s="15">
        <v>45475</v>
      </c>
      <c r="C62" s="11" t="s">
        <v>57</v>
      </c>
      <c r="D62" s="11" t="s">
        <v>58</v>
      </c>
      <c r="E62" s="11" t="s">
        <v>119</v>
      </c>
      <c r="F62" s="11" t="s">
        <v>120</v>
      </c>
      <c r="G62" s="11" t="s">
        <v>21</v>
      </c>
      <c r="H62" s="11">
        <v>1</v>
      </c>
      <c r="I62" s="11">
        <v>89.99</v>
      </c>
      <c r="J62" s="11" t="s">
        <v>36</v>
      </c>
      <c r="K62" s="11" t="s">
        <v>52</v>
      </c>
      <c r="L62" s="11" t="s">
        <v>38</v>
      </c>
      <c r="M62" s="14">
        <v>44802</v>
      </c>
      <c r="N62" s="11">
        <v>89.99</v>
      </c>
      <c r="O62" s="11" t="str">
        <f t="shared" si="0"/>
        <v>Jul</v>
      </c>
      <c r="P62" s="15">
        <f t="shared" ca="1" si="1"/>
        <v>46078</v>
      </c>
      <c r="Q62" s="18">
        <f t="shared" ca="1" si="8"/>
        <v>46078.801391898145</v>
      </c>
      <c r="R62" s="11">
        <f t="shared" ca="1" si="2"/>
        <v>3</v>
      </c>
      <c r="S62" s="15">
        <f t="shared" si="3"/>
        <v>45504</v>
      </c>
      <c r="T62" s="11">
        <f t="shared" si="4"/>
        <v>5089.7300000000005</v>
      </c>
      <c r="U62" s="11" t="str">
        <f t="shared" si="5"/>
        <v>Normal</v>
      </c>
      <c r="V62" s="11">
        <f t="shared" si="6"/>
        <v>34</v>
      </c>
      <c r="W62" s="6" t="str">
        <f t="shared" si="7"/>
        <v>C.A</v>
      </c>
      <c r="Y62" s="13" t="s">
        <v>307</v>
      </c>
      <c r="Z62" s="8">
        <v>179.97</v>
      </c>
    </row>
    <row r="63" spans="1:26" ht="15.75" customHeight="1" x14ac:dyDescent="0.3">
      <c r="A63" s="11" t="s">
        <v>182</v>
      </c>
      <c r="B63" s="15">
        <v>45476</v>
      </c>
      <c r="C63" s="11" t="s">
        <v>70</v>
      </c>
      <c r="D63" s="11" t="s">
        <v>71</v>
      </c>
      <c r="E63" s="11" t="s">
        <v>119</v>
      </c>
      <c r="F63" s="11" t="s">
        <v>120</v>
      </c>
      <c r="G63" s="11" t="s">
        <v>21</v>
      </c>
      <c r="H63" s="11">
        <v>1</v>
      </c>
      <c r="I63" s="11">
        <v>89.99</v>
      </c>
      <c r="J63" s="11" t="s">
        <v>22</v>
      </c>
      <c r="K63" s="11" t="s">
        <v>37</v>
      </c>
      <c r="L63" s="11" t="s">
        <v>38</v>
      </c>
      <c r="M63" s="14">
        <v>44611</v>
      </c>
      <c r="N63" s="11">
        <v>89.99</v>
      </c>
      <c r="O63" s="11" t="str">
        <f t="shared" si="0"/>
        <v>Jul</v>
      </c>
      <c r="P63" s="15">
        <f t="shared" ca="1" si="1"/>
        <v>46078</v>
      </c>
      <c r="Q63" s="18">
        <f t="shared" ca="1" si="8"/>
        <v>46078.801391898145</v>
      </c>
      <c r="R63" s="11">
        <f t="shared" ca="1" si="2"/>
        <v>4</v>
      </c>
      <c r="S63" s="15">
        <f t="shared" si="3"/>
        <v>45504</v>
      </c>
      <c r="T63" s="11">
        <f t="shared" si="4"/>
        <v>1979.89</v>
      </c>
      <c r="U63" s="11" t="str">
        <f t="shared" si="5"/>
        <v>Normal</v>
      </c>
      <c r="V63" s="11">
        <f t="shared" si="6"/>
        <v>34</v>
      </c>
      <c r="W63" s="6" t="str">
        <f t="shared" si="7"/>
        <v>S.G</v>
      </c>
      <c r="Y63" s="13" t="s">
        <v>406</v>
      </c>
      <c r="Z63" s="8">
        <v>229192.46999999997</v>
      </c>
    </row>
    <row r="64" spans="1:26" ht="15.75" customHeight="1" x14ac:dyDescent="0.3">
      <c r="A64" s="11" t="s">
        <v>183</v>
      </c>
      <c r="B64" s="15">
        <v>45476</v>
      </c>
      <c r="C64" s="11" t="s">
        <v>184</v>
      </c>
      <c r="D64" s="11" t="s">
        <v>185</v>
      </c>
      <c r="E64" s="11" t="s">
        <v>116</v>
      </c>
      <c r="F64" s="11" t="s">
        <v>117</v>
      </c>
      <c r="G64" s="11" t="s">
        <v>35</v>
      </c>
      <c r="H64" s="11">
        <v>5</v>
      </c>
      <c r="I64" s="11">
        <v>79.989999999999995</v>
      </c>
      <c r="J64" s="11" t="s">
        <v>59</v>
      </c>
      <c r="K64" s="11" t="s">
        <v>23</v>
      </c>
      <c r="L64" s="11" t="s">
        <v>24</v>
      </c>
      <c r="M64" s="14">
        <v>44981</v>
      </c>
      <c r="N64" s="11">
        <v>399.95</v>
      </c>
      <c r="O64" s="11" t="str">
        <f t="shared" si="0"/>
        <v>Jul</v>
      </c>
      <c r="P64" s="15">
        <f t="shared" ca="1" si="1"/>
        <v>46078</v>
      </c>
      <c r="Q64" s="18">
        <f t="shared" ca="1" si="8"/>
        <v>46078.801391898145</v>
      </c>
      <c r="R64" s="11">
        <f t="shared" ca="1" si="2"/>
        <v>3</v>
      </c>
      <c r="S64" s="15">
        <f t="shared" si="3"/>
        <v>45504</v>
      </c>
      <c r="T64" s="11">
        <f t="shared" si="4"/>
        <v>1809.84</v>
      </c>
      <c r="U64" s="11" t="str">
        <f t="shared" si="5"/>
        <v>Normal</v>
      </c>
      <c r="V64" s="11">
        <f t="shared" si="6"/>
        <v>14</v>
      </c>
      <c r="W64" s="6" t="str">
        <f t="shared" si="7"/>
        <v>D.M</v>
      </c>
    </row>
    <row r="65" spans="1:48" ht="15.75" customHeight="1" x14ac:dyDescent="0.3">
      <c r="A65" s="11" t="s">
        <v>186</v>
      </c>
      <c r="B65" s="15">
        <v>45481</v>
      </c>
      <c r="C65" s="11" t="s">
        <v>187</v>
      </c>
      <c r="D65" s="11" t="s">
        <v>188</v>
      </c>
      <c r="E65" s="11" t="s">
        <v>46</v>
      </c>
      <c r="F65" s="11" t="s">
        <v>47</v>
      </c>
      <c r="G65" s="11" t="s">
        <v>48</v>
      </c>
      <c r="H65" s="11">
        <v>1</v>
      </c>
      <c r="I65" s="11">
        <v>149.99</v>
      </c>
      <c r="J65" s="11" t="s">
        <v>36</v>
      </c>
      <c r="K65" s="11" t="s">
        <v>42</v>
      </c>
      <c r="L65" s="11" t="s">
        <v>24</v>
      </c>
      <c r="M65" s="14">
        <v>44421</v>
      </c>
      <c r="N65" s="11">
        <v>149.99</v>
      </c>
      <c r="O65" s="11" t="str">
        <f t="shared" si="0"/>
        <v>Jul</v>
      </c>
      <c r="P65" s="15">
        <f t="shared" ca="1" si="1"/>
        <v>46078</v>
      </c>
      <c r="Q65" s="18">
        <f t="shared" ca="1" si="8"/>
        <v>46078.801391898145</v>
      </c>
      <c r="R65" s="11">
        <f t="shared" ca="1" si="2"/>
        <v>4</v>
      </c>
      <c r="S65" s="15">
        <f t="shared" si="3"/>
        <v>45504</v>
      </c>
      <c r="T65" s="11">
        <f t="shared" si="4"/>
        <v>2099.88</v>
      </c>
      <c r="U65" s="11" t="str">
        <f t="shared" si="5"/>
        <v>Normal</v>
      </c>
      <c r="V65" s="11">
        <f t="shared" si="6"/>
        <v>35</v>
      </c>
      <c r="W65" s="6" t="str">
        <f t="shared" si="7"/>
        <v>M.W</v>
      </c>
      <c r="Z65" s="20"/>
      <c r="AA65" s="20"/>
      <c r="AB65" s="20"/>
      <c r="AC65" s="20"/>
      <c r="AD65" s="34" t="s">
        <v>429</v>
      </c>
      <c r="AE65" s="34"/>
      <c r="AF65" s="34"/>
      <c r="AG65" s="34"/>
    </row>
    <row r="66" spans="1:48" ht="15.75" customHeight="1" x14ac:dyDescent="0.3">
      <c r="A66" s="11" t="s">
        <v>189</v>
      </c>
      <c r="B66" s="15">
        <v>45481</v>
      </c>
      <c r="C66" s="11" t="s">
        <v>44</v>
      </c>
      <c r="D66" s="11" t="s">
        <v>45</v>
      </c>
      <c r="E66" s="11" t="s">
        <v>82</v>
      </c>
      <c r="F66" s="11" t="s">
        <v>83</v>
      </c>
      <c r="G66" s="11" t="s">
        <v>21</v>
      </c>
      <c r="H66" s="11">
        <v>2</v>
      </c>
      <c r="I66" s="11">
        <v>699.99</v>
      </c>
      <c r="J66" s="11" t="s">
        <v>36</v>
      </c>
      <c r="K66" s="11" t="s">
        <v>65</v>
      </c>
      <c r="L66" s="11" t="s">
        <v>29</v>
      </c>
      <c r="M66" s="14">
        <v>45389</v>
      </c>
      <c r="N66" s="11">
        <v>1399.98</v>
      </c>
      <c r="O66" s="11" t="str">
        <f t="shared" ref="O66:O129" si="9">TEXT(B66,"MMM")</f>
        <v>Jul</v>
      </c>
      <c r="P66" s="15">
        <f t="shared" ref="P66:P129" ca="1" si="10">TODAY()</f>
        <v>46078</v>
      </c>
      <c r="Q66" s="18">
        <f t="shared" ref="Q66:Q129" ca="1" si="11">NOW()</f>
        <v>46078.801391898145</v>
      </c>
      <c r="R66" s="11">
        <f t="shared" ref="R66:R129" ca="1" si="12">DATEDIF(M66,TODAY(),"Y")</f>
        <v>1</v>
      </c>
      <c r="S66" s="15">
        <f t="shared" ref="S66:S129" si="13">EOMONTH(B66,0)</f>
        <v>45504</v>
      </c>
      <c r="T66" s="11">
        <f t="shared" ref="T66:T129" si="14">SUMIF(D:D,D66,N:N)</f>
        <v>6169.7400000000007</v>
      </c>
      <c r="U66" s="11" t="str">
        <f t="shared" ref="U66:U129" si="15">IF(T66&gt;10000,"High","Normal")</f>
        <v>Normal</v>
      </c>
      <c r="V66" s="11">
        <f t="shared" ref="V66:V129" si="16">COUNTIF(F:F,F66)</f>
        <v>31</v>
      </c>
      <c r="W66" s="6" t="str">
        <f t="shared" ref="W66:W129" si="17">LEFT(D66,1)&amp;"."&amp;MID(D66,FIND(" ",D66)+1,1)</f>
        <v>M.B</v>
      </c>
      <c r="Z66" s="20"/>
      <c r="AA66" s="20"/>
      <c r="AB66" s="20"/>
      <c r="AC66" s="20"/>
      <c r="AD66" s="34"/>
      <c r="AE66" s="34"/>
      <c r="AF66" s="34"/>
      <c r="AG66" s="34"/>
    </row>
    <row r="67" spans="1:48" ht="15.75" customHeight="1" x14ac:dyDescent="0.3">
      <c r="A67" s="11" t="s">
        <v>190</v>
      </c>
      <c r="B67" s="15">
        <v>45481</v>
      </c>
      <c r="C67" s="11" t="s">
        <v>98</v>
      </c>
      <c r="D67" s="11" t="s">
        <v>99</v>
      </c>
      <c r="E67" s="11" t="s">
        <v>119</v>
      </c>
      <c r="F67" s="11" t="s">
        <v>120</v>
      </c>
      <c r="G67" s="11" t="s">
        <v>21</v>
      </c>
      <c r="H67" s="11">
        <v>5</v>
      </c>
      <c r="I67" s="11">
        <v>89.99</v>
      </c>
      <c r="J67" s="11" t="s">
        <v>59</v>
      </c>
      <c r="K67" s="11" t="s">
        <v>42</v>
      </c>
      <c r="L67" s="11" t="s">
        <v>29</v>
      </c>
      <c r="M67" s="14">
        <v>45161</v>
      </c>
      <c r="N67" s="11">
        <v>449.95</v>
      </c>
      <c r="O67" s="11" t="str">
        <f t="shared" si="9"/>
        <v>Jul</v>
      </c>
      <c r="P67" s="15">
        <f t="shared" ca="1" si="10"/>
        <v>46078</v>
      </c>
      <c r="Q67" s="18">
        <f t="shared" ca="1" si="11"/>
        <v>46078.801391898145</v>
      </c>
      <c r="R67" s="11">
        <f t="shared" ca="1" si="12"/>
        <v>2</v>
      </c>
      <c r="S67" s="15">
        <f t="shared" si="13"/>
        <v>45504</v>
      </c>
      <c r="T67" s="11">
        <f t="shared" si="14"/>
        <v>10649.8</v>
      </c>
      <c r="U67" s="11" t="str">
        <f t="shared" si="15"/>
        <v>High</v>
      </c>
      <c r="V67" s="24">
        <f t="shared" si="16"/>
        <v>34</v>
      </c>
      <c r="W67" s="6" t="str">
        <f t="shared" si="17"/>
        <v>B.Y</v>
      </c>
      <c r="X67" s="29"/>
      <c r="Y67" s="30"/>
      <c r="Z67" s="27" t="s">
        <v>428</v>
      </c>
      <c r="AA67" s="28" t="s">
        <v>23</v>
      </c>
    </row>
    <row r="68" spans="1:48" ht="15.75" customHeight="1" x14ac:dyDescent="0.3">
      <c r="A68" s="11" t="s">
        <v>191</v>
      </c>
      <c r="B68" s="15">
        <v>45482</v>
      </c>
      <c r="C68" s="11" t="s">
        <v>173</v>
      </c>
      <c r="D68" s="11" t="s">
        <v>174</v>
      </c>
      <c r="E68" s="11" t="s">
        <v>33</v>
      </c>
      <c r="F68" s="11" t="s">
        <v>34</v>
      </c>
      <c r="G68" s="11" t="s">
        <v>35</v>
      </c>
      <c r="H68" s="11">
        <v>4</v>
      </c>
      <c r="I68" s="11">
        <v>59.99</v>
      </c>
      <c r="J68" s="11" t="s">
        <v>22</v>
      </c>
      <c r="K68" s="11" t="s">
        <v>37</v>
      </c>
      <c r="L68" s="11" t="s">
        <v>38</v>
      </c>
      <c r="M68" s="14">
        <v>44509</v>
      </c>
      <c r="N68" s="11">
        <v>239.96</v>
      </c>
      <c r="O68" s="11" t="str">
        <f t="shared" si="9"/>
        <v>Jul</v>
      </c>
      <c r="P68" s="15">
        <f t="shared" ca="1" si="10"/>
        <v>46078</v>
      </c>
      <c r="Q68" s="18">
        <f t="shared" ca="1" si="11"/>
        <v>46078.801391898145</v>
      </c>
      <c r="R68" s="11">
        <f t="shared" ca="1" si="12"/>
        <v>4</v>
      </c>
      <c r="S68" s="15">
        <f t="shared" si="13"/>
        <v>45504</v>
      </c>
      <c r="T68" s="11">
        <f t="shared" si="14"/>
        <v>3669.8500000000004</v>
      </c>
      <c r="U68" s="11" t="str">
        <f t="shared" si="15"/>
        <v>Normal</v>
      </c>
      <c r="V68" s="11">
        <f t="shared" si="16"/>
        <v>29</v>
      </c>
      <c r="W68" s="6" t="str">
        <f t="shared" si="17"/>
        <v>R.R</v>
      </c>
    </row>
    <row r="69" spans="1:48" ht="15.75" customHeight="1" x14ac:dyDescent="0.3">
      <c r="A69" s="11" t="s">
        <v>192</v>
      </c>
      <c r="B69" s="15">
        <v>45484</v>
      </c>
      <c r="C69" s="11" t="s">
        <v>26</v>
      </c>
      <c r="D69" s="11" t="s">
        <v>27</v>
      </c>
      <c r="E69" s="11" t="s">
        <v>54</v>
      </c>
      <c r="F69" s="11" t="s">
        <v>55</v>
      </c>
      <c r="G69" s="11" t="s">
        <v>21</v>
      </c>
      <c r="H69" s="11">
        <v>1</v>
      </c>
      <c r="I69" s="11">
        <v>149.99</v>
      </c>
      <c r="J69" s="11" t="s">
        <v>22</v>
      </c>
      <c r="K69" s="11" t="s">
        <v>23</v>
      </c>
      <c r="L69" s="11" t="s">
        <v>38</v>
      </c>
      <c r="M69" s="14">
        <v>44909</v>
      </c>
      <c r="N69" s="11">
        <v>149.99</v>
      </c>
      <c r="O69" s="11" t="str">
        <f t="shared" si="9"/>
        <v>Jul</v>
      </c>
      <c r="P69" s="15">
        <f t="shared" ca="1" si="10"/>
        <v>46078</v>
      </c>
      <c r="Q69" s="18">
        <f t="shared" ca="1" si="11"/>
        <v>46078.801391898145</v>
      </c>
      <c r="R69" s="11">
        <f t="shared" ca="1" si="12"/>
        <v>3</v>
      </c>
      <c r="S69" s="15">
        <f t="shared" si="13"/>
        <v>45504</v>
      </c>
      <c r="T69" s="11">
        <f t="shared" si="14"/>
        <v>6949.84</v>
      </c>
      <c r="U69" s="11" t="str">
        <f t="shared" si="15"/>
        <v>Normal</v>
      </c>
      <c r="V69" s="11">
        <f t="shared" si="16"/>
        <v>16</v>
      </c>
      <c r="W69" s="6" t="str">
        <f t="shared" si="17"/>
        <v>J.J</v>
      </c>
      <c r="Z69" t="str" cm="1">
        <f t="array" aca="1" ref="Z69:AV122" ca="1">_xlfn._xlws.FILTER(Table1[],K2:K251=AA67)</f>
        <v>TRX0155</v>
      </c>
      <c r="AA69">
        <f ca="1"/>
        <v>45393</v>
      </c>
      <c r="AB69" t="str">
        <f ca="1"/>
        <v>CUST023</v>
      </c>
      <c r="AC69" t="str">
        <f ca="1"/>
        <v>Paul Baker</v>
      </c>
      <c r="AD69" t="str">
        <f ca="1"/>
        <v>P009</v>
      </c>
      <c r="AE69" t="str">
        <f ca="1"/>
        <v>Monitor</v>
      </c>
      <c r="AF69" t="str">
        <f ca="1"/>
        <v>Electronics</v>
      </c>
      <c r="AG69">
        <f ca="1"/>
        <v>3</v>
      </c>
      <c r="AH69">
        <f ca="1"/>
        <v>149.99</v>
      </c>
      <c r="AI69" t="str">
        <f ca="1"/>
        <v>Cash</v>
      </c>
      <c r="AJ69" t="str">
        <f ca="1"/>
        <v>Central</v>
      </c>
      <c r="AK69" t="str">
        <f ca="1"/>
        <v>Basic</v>
      </c>
      <c r="AL69">
        <f ca="1"/>
        <v>44425</v>
      </c>
      <c r="AM69">
        <f ca="1"/>
        <v>749.97</v>
      </c>
      <c r="AN69" t="str">
        <f ca="1"/>
        <v>Apr</v>
      </c>
      <c r="AO69">
        <f ca="1"/>
        <v>46078</v>
      </c>
      <c r="AP69">
        <f ca="1"/>
        <v>46078.801391898145</v>
      </c>
      <c r="AQ69">
        <f ca="1"/>
        <v>4</v>
      </c>
      <c r="AR69">
        <f ca="1"/>
        <v>45412</v>
      </c>
      <c r="AS69">
        <f ca="1"/>
        <v>8309.739999999998</v>
      </c>
      <c r="AT69" t="str">
        <f ca="1"/>
        <v>Normal</v>
      </c>
      <c r="AU69">
        <f ca="1"/>
        <v>26</v>
      </c>
      <c r="AV69" t="str">
        <f ca="1"/>
        <v>P.B</v>
      </c>
    </row>
    <row r="70" spans="1:48" ht="15.75" customHeight="1" x14ac:dyDescent="0.3">
      <c r="A70" s="11" t="s">
        <v>193</v>
      </c>
      <c r="B70" s="15">
        <v>45484</v>
      </c>
      <c r="C70" s="11" t="s">
        <v>194</v>
      </c>
      <c r="D70" s="11" t="s">
        <v>195</v>
      </c>
      <c r="E70" s="11" t="s">
        <v>107</v>
      </c>
      <c r="F70" s="11" t="s">
        <v>108</v>
      </c>
      <c r="G70" s="11" t="s">
        <v>48</v>
      </c>
      <c r="H70" s="11">
        <v>1</v>
      </c>
      <c r="I70" s="11">
        <v>299.99</v>
      </c>
      <c r="J70" s="11" t="s">
        <v>28</v>
      </c>
      <c r="K70" s="11" t="s">
        <v>42</v>
      </c>
      <c r="L70" s="11" t="s">
        <v>29</v>
      </c>
      <c r="M70" s="14">
        <v>44891</v>
      </c>
      <c r="N70" s="11">
        <v>299.99</v>
      </c>
      <c r="O70" s="11" t="str">
        <f t="shared" si="9"/>
        <v>Jul</v>
      </c>
      <c r="P70" s="15">
        <f t="shared" ca="1" si="10"/>
        <v>46078</v>
      </c>
      <c r="Q70" s="18">
        <f t="shared" ca="1" si="11"/>
        <v>46078.801391898145</v>
      </c>
      <c r="R70" s="11">
        <f t="shared" ca="1" si="12"/>
        <v>3</v>
      </c>
      <c r="S70" s="15">
        <f t="shared" si="13"/>
        <v>45504</v>
      </c>
      <c r="T70" s="11">
        <f t="shared" si="14"/>
        <v>1479.91</v>
      </c>
      <c r="U70" s="11" t="str">
        <f t="shared" si="15"/>
        <v>Normal</v>
      </c>
      <c r="V70" s="11">
        <f t="shared" si="16"/>
        <v>26</v>
      </c>
      <c r="W70" s="6" t="str">
        <f t="shared" si="17"/>
        <v>F.T</v>
      </c>
      <c r="Z70" t="str">
        <f ca="1"/>
        <v>TRX0023</v>
      </c>
      <c r="AA70">
        <f ca="1"/>
        <v>45396</v>
      </c>
      <c r="AB70" t="str">
        <f ca="1"/>
        <v>CUST013</v>
      </c>
      <c r="AC70" t="str">
        <f ca="1"/>
        <v>Joseph Jackson</v>
      </c>
      <c r="AD70" t="str">
        <f ca="1"/>
        <v>P009</v>
      </c>
      <c r="AE70" t="str">
        <f ca="1"/>
        <v>Monitor</v>
      </c>
      <c r="AF70" t="str">
        <f ca="1"/>
        <v>Electronics</v>
      </c>
      <c r="AG70">
        <f ca="1"/>
        <v>3</v>
      </c>
      <c r="AH70">
        <f ca="1"/>
        <v>249.99</v>
      </c>
      <c r="AI70" t="str">
        <f ca="1"/>
        <v>Credit Card</v>
      </c>
      <c r="AJ70" t="str">
        <f ca="1"/>
        <v>Central</v>
      </c>
      <c r="AK70" t="str">
        <f ca="1"/>
        <v>Premium</v>
      </c>
      <c r="AL70">
        <f ca="1"/>
        <v>44575</v>
      </c>
      <c r="AM70">
        <f ca="1"/>
        <v>749.97</v>
      </c>
      <c r="AN70" t="str">
        <f ca="1"/>
        <v>Apr</v>
      </c>
      <c r="AO70">
        <f ca="1"/>
        <v>46078</v>
      </c>
      <c r="AP70">
        <f ca="1"/>
        <v>46078.801391898145</v>
      </c>
      <c r="AQ70">
        <f ca="1"/>
        <v>4</v>
      </c>
      <c r="AR70">
        <f ca="1"/>
        <v>45412</v>
      </c>
      <c r="AS70">
        <f ca="1"/>
        <v>6949.84</v>
      </c>
      <c r="AT70" t="str">
        <f ca="1"/>
        <v>Normal</v>
      </c>
      <c r="AU70">
        <f ca="1"/>
        <v>26</v>
      </c>
      <c r="AV70" t="str">
        <f ca="1"/>
        <v>J.J</v>
      </c>
    </row>
    <row r="71" spans="1:48" ht="15.75" customHeight="1" x14ac:dyDescent="0.3">
      <c r="A71" s="11" t="s">
        <v>196</v>
      </c>
      <c r="B71" s="15">
        <v>45487</v>
      </c>
      <c r="C71" s="11" t="s">
        <v>194</v>
      </c>
      <c r="D71" s="11" t="s">
        <v>195</v>
      </c>
      <c r="E71" s="11" t="s">
        <v>128</v>
      </c>
      <c r="F71" s="11" t="s">
        <v>129</v>
      </c>
      <c r="G71" s="11" t="s">
        <v>48</v>
      </c>
      <c r="H71" s="11">
        <v>2</v>
      </c>
      <c r="I71" s="11">
        <v>199.99</v>
      </c>
      <c r="J71" s="11" t="s">
        <v>22</v>
      </c>
      <c r="K71" s="11" t="s">
        <v>42</v>
      </c>
      <c r="L71" s="11" t="s">
        <v>24</v>
      </c>
      <c r="M71" s="14">
        <v>44541</v>
      </c>
      <c r="N71" s="11">
        <v>399.98</v>
      </c>
      <c r="O71" s="11" t="str">
        <f t="shared" si="9"/>
        <v>Jul</v>
      </c>
      <c r="P71" s="15">
        <f t="shared" ca="1" si="10"/>
        <v>46078</v>
      </c>
      <c r="Q71" s="18">
        <f t="shared" ca="1" si="11"/>
        <v>46078.801391898145</v>
      </c>
      <c r="R71" s="11">
        <f t="shared" ca="1" si="12"/>
        <v>4</v>
      </c>
      <c r="S71" s="15">
        <f t="shared" si="13"/>
        <v>45504</v>
      </c>
      <c r="T71" s="11">
        <f t="shared" si="14"/>
        <v>1479.91</v>
      </c>
      <c r="U71" s="11" t="str">
        <f t="shared" si="15"/>
        <v>Normal</v>
      </c>
      <c r="V71" s="11">
        <f t="shared" si="16"/>
        <v>15</v>
      </c>
      <c r="W71" s="6" t="str">
        <f t="shared" si="17"/>
        <v>F.T</v>
      </c>
      <c r="Z71" t="str">
        <f ca="1"/>
        <v>TRX0193</v>
      </c>
      <c r="AA71">
        <f ca="1"/>
        <v>45403</v>
      </c>
      <c r="AB71" t="str">
        <f ca="1"/>
        <v>CUST024</v>
      </c>
      <c r="AC71" t="str">
        <f ca="1"/>
        <v>Dorothy Nelson</v>
      </c>
      <c r="AD71" t="str">
        <f ca="1"/>
        <v>P003</v>
      </c>
      <c r="AE71" t="str">
        <f ca="1"/>
        <v>Headphones</v>
      </c>
      <c r="AF71" t="str">
        <f ca="1"/>
        <v>Electronics</v>
      </c>
      <c r="AG71">
        <f ca="1"/>
        <v>5</v>
      </c>
      <c r="AH71">
        <f ca="1"/>
        <v>149.99</v>
      </c>
      <c r="AI71" t="str">
        <f ca="1"/>
        <v>Credit Card</v>
      </c>
      <c r="AJ71" t="str">
        <f ca="1"/>
        <v>Central</v>
      </c>
      <c r="AK71" t="str">
        <f ca="1"/>
        <v>Standard</v>
      </c>
      <c r="AL71">
        <f ca="1"/>
        <v>44418</v>
      </c>
      <c r="AM71">
        <f ca="1"/>
        <v>749.95</v>
      </c>
      <c r="AN71" t="str">
        <f ca="1"/>
        <v>Apr</v>
      </c>
      <c r="AO71">
        <f ca="1"/>
        <v>46078</v>
      </c>
      <c r="AP71">
        <f ca="1"/>
        <v>46078.801391898145</v>
      </c>
      <c r="AQ71">
        <f ca="1"/>
        <v>4</v>
      </c>
      <c r="AR71">
        <f ca="1"/>
        <v>45412</v>
      </c>
      <c r="AS71">
        <f ca="1"/>
        <v>8269.7900000000009</v>
      </c>
      <c r="AT71" t="str">
        <f ca="1"/>
        <v>Normal</v>
      </c>
      <c r="AU71">
        <f ca="1"/>
        <v>16</v>
      </c>
      <c r="AV71" t="str">
        <f ca="1"/>
        <v>D.N</v>
      </c>
    </row>
    <row r="72" spans="1:48" ht="15.75" customHeight="1" x14ac:dyDescent="0.3">
      <c r="A72" s="11" t="s">
        <v>197</v>
      </c>
      <c r="B72" s="15">
        <v>45490</v>
      </c>
      <c r="C72" s="11" t="s">
        <v>198</v>
      </c>
      <c r="D72" s="11" t="s">
        <v>199</v>
      </c>
      <c r="E72" s="11" t="s">
        <v>33</v>
      </c>
      <c r="F72" s="11" t="s">
        <v>34</v>
      </c>
      <c r="G72" s="11" t="s">
        <v>35</v>
      </c>
      <c r="H72" s="11">
        <v>3</v>
      </c>
      <c r="I72" s="11">
        <v>59.99</v>
      </c>
      <c r="J72" s="11" t="s">
        <v>28</v>
      </c>
      <c r="K72" s="11" t="s">
        <v>52</v>
      </c>
      <c r="L72" s="11" t="s">
        <v>24</v>
      </c>
      <c r="M72" s="14">
        <v>45130</v>
      </c>
      <c r="N72" s="11">
        <v>179.97</v>
      </c>
      <c r="O72" s="11" t="str">
        <f t="shared" si="9"/>
        <v>Jul</v>
      </c>
      <c r="P72" s="15">
        <f t="shared" ca="1" si="10"/>
        <v>46078</v>
      </c>
      <c r="Q72" s="18">
        <f t="shared" ca="1" si="11"/>
        <v>46078.801391898145</v>
      </c>
      <c r="R72" s="11">
        <f t="shared" ca="1" si="12"/>
        <v>2</v>
      </c>
      <c r="S72" s="15">
        <f t="shared" si="13"/>
        <v>45504</v>
      </c>
      <c r="T72" s="11">
        <f t="shared" si="14"/>
        <v>6379.87</v>
      </c>
      <c r="U72" s="11" t="str">
        <f t="shared" si="15"/>
        <v>Normal</v>
      </c>
      <c r="V72" s="11">
        <f t="shared" si="16"/>
        <v>29</v>
      </c>
      <c r="W72" s="6" t="str">
        <f t="shared" si="17"/>
        <v>G.M</v>
      </c>
      <c r="Z72" t="str">
        <f ca="1"/>
        <v>TRX0063</v>
      </c>
      <c r="AA72">
        <f ca="1"/>
        <v>45425</v>
      </c>
      <c r="AB72" t="str">
        <f ca="1"/>
        <v>CUST030</v>
      </c>
      <c r="AC72" t="str">
        <f ca="1"/>
        <v>Helen Roberts</v>
      </c>
      <c r="AD72" t="str">
        <f ca="1"/>
        <v>P005</v>
      </c>
      <c r="AE72" t="str">
        <f ca="1"/>
        <v>Blender</v>
      </c>
      <c r="AF72" t="str">
        <f ca="1"/>
        <v>Appliances</v>
      </c>
      <c r="AG72">
        <f ca="1"/>
        <v>2</v>
      </c>
      <c r="AH72">
        <f ca="1"/>
        <v>59.99</v>
      </c>
      <c r="AI72" t="str">
        <f ca="1"/>
        <v>Debit Card</v>
      </c>
      <c r="AJ72" t="str">
        <f ca="1"/>
        <v>Central</v>
      </c>
      <c r="AK72" t="str">
        <f ca="1"/>
        <v>Standard</v>
      </c>
      <c r="AL72">
        <f ca="1"/>
        <v>45214</v>
      </c>
      <c r="AM72">
        <f ca="1"/>
        <v>119.98</v>
      </c>
      <c r="AN72" t="str">
        <f ca="1"/>
        <v>May</v>
      </c>
      <c r="AO72">
        <f ca="1"/>
        <v>46078</v>
      </c>
      <c r="AP72">
        <f ca="1"/>
        <v>46078.801391898145</v>
      </c>
      <c r="AQ72">
        <f ca="1"/>
        <v>2</v>
      </c>
      <c r="AR72">
        <f ca="1"/>
        <v>45443</v>
      </c>
      <c r="AS72">
        <f ca="1"/>
        <v>6459.79</v>
      </c>
      <c r="AT72" t="str">
        <f ca="1"/>
        <v>Normal</v>
      </c>
      <c r="AU72">
        <f ca="1"/>
        <v>29</v>
      </c>
      <c r="AV72" t="str">
        <f ca="1"/>
        <v>H.R</v>
      </c>
    </row>
    <row r="73" spans="1:48" ht="15.75" customHeight="1" x14ac:dyDescent="0.3">
      <c r="A73" s="11" t="s">
        <v>200</v>
      </c>
      <c r="B73" s="15">
        <v>45490</v>
      </c>
      <c r="C73" s="11" t="s">
        <v>74</v>
      </c>
      <c r="D73" s="11" t="s">
        <v>75</v>
      </c>
      <c r="E73" s="11" t="s">
        <v>46</v>
      </c>
      <c r="F73" s="11" t="s">
        <v>47</v>
      </c>
      <c r="G73" s="11" t="s">
        <v>48</v>
      </c>
      <c r="H73" s="11">
        <v>3</v>
      </c>
      <c r="I73" s="11">
        <v>149.99</v>
      </c>
      <c r="J73" s="11" t="s">
        <v>22</v>
      </c>
      <c r="K73" s="11" t="s">
        <v>23</v>
      </c>
      <c r="L73" s="11" t="s">
        <v>29</v>
      </c>
      <c r="M73" s="14">
        <v>45199</v>
      </c>
      <c r="N73" s="11">
        <v>449.97</v>
      </c>
      <c r="O73" s="11" t="str">
        <f t="shared" si="9"/>
        <v>Jul</v>
      </c>
      <c r="P73" s="15">
        <f t="shared" ca="1" si="10"/>
        <v>46078</v>
      </c>
      <c r="Q73" s="18">
        <f t="shared" ca="1" si="11"/>
        <v>46078.801391898145</v>
      </c>
      <c r="R73" s="11">
        <f t="shared" ca="1" si="12"/>
        <v>2</v>
      </c>
      <c r="S73" s="15">
        <f t="shared" si="13"/>
        <v>45504</v>
      </c>
      <c r="T73" s="11">
        <f t="shared" si="14"/>
        <v>5949.85</v>
      </c>
      <c r="U73" s="11" t="str">
        <f t="shared" si="15"/>
        <v>Normal</v>
      </c>
      <c r="V73" s="11">
        <f t="shared" si="16"/>
        <v>35</v>
      </c>
      <c r="W73" s="6" t="str">
        <f t="shared" si="17"/>
        <v>P.R</v>
      </c>
      <c r="Z73" t="str">
        <f ca="1"/>
        <v>TRX0202</v>
      </c>
      <c r="AA73">
        <f ca="1"/>
        <v>45441</v>
      </c>
      <c r="AB73" t="str">
        <f ca="1"/>
        <v>CUST035</v>
      </c>
      <c r="AC73" t="str">
        <f ca="1"/>
        <v>Harry Morgan</v>
      </c>
      <c r="AD73" t="str">
        <f ca="1"/>
        <v>P010</v>
      </c>
      <c r="AE73" t="str">
        <f ca="1"/>
        <v>Keyboard</v>
      </c>
      <c r="AF73" t="str">
        <f ca="1"/>
        <v>Electronics</v>
      </c>
      <c r="AG73">
        <f ca="1"/>
        <v>3</v>
      </c>
      <c r="AH73">
        <f ca="1"/>
        <v>89.99</v>
      </c>
      <c r="AI73" t="str">
        <f ca="1"/>
        <v>PayPal</v>
      </c>
      <c r="AJ73" t="str">
        <f ca="1"/>
        <v>Central</v>
      </c>
      <c r="AK73" t="str">
        <f ca="1"/>
        <v>Premium</v>
      </c>
      <c r="AL73">
        <f ca="1"/>
        <v>45120</v>
      </c>
      <c r="AM73">
        <f ca="1"/>
        <v>269.97000000000003</v>
      </c>
      <c r="AN73" t="str">
        <f ca="1"/>
        <v>May</v>
      </c>
      <c r="AO73">
        <f ca="1"/>
        <v>46078</v>
      </c>
      <c r="AP73">
        <f ca="1"/>
        <v>46078.801391898145</v>
      </c>
      <c r="AQ73">
        <f ca="1"/>
        <v>2</v>
      </c>
      <c r="AR73">
        <f ca="1"/>
        <v>45443</v>
      </c>
      <c r="AS73">
        <f ca="1"/>
        <v>5519.8899999999994</v>
      </c>
      <c r="AT73" t="str">
        <f ca="1"/>
        <v>Normal</v>
      </c>
      <c r="AU73">
        <f ca="1"/>
        <v>34</v>
      </c>
      <c r="AV73" t="str">
        <f ca="1"/>
        <v>H.M</v>
      </c>
    </row>
    <row r="74" spans="1:48" ht="15.75" customHeight="1" x14ac:dyDescent="0.3">
      <c r="A74" s="11" t="s">
        <v>201</v>
      </c>
      <c r="B74" s="15">
        <v>45491</v>
      </c>
      <c r="C74" s="11" t="s">
        <v>67</v>
      </c>
      <c r="D74" s="11" t="s">
        <v>68</v>
      </c>
      <c r="E74" s="11" t="s">
        <v>128</v>
      </c>
      <c r="F74" s="11" t="s">
        <v>129</v>
      </c>
      <c r="G74" s="11" t="s">
        <v>48</v>
      </c>
      <c r="H74" s="11">
        <v>3</v>
      </c>
      <c r="I74" s="11">
        <v>199.99</v>
      </c>
      <c r="J74" s="11" t="s">
        <v>22</v>
      </c>
      <c r="K74" s="11" t="s">
        <v>42</v>
      </c>
      <c r="L74" s="11" t="s">
        <v>29</v>
      </c>
      <c r="M74" s="14">
        <v>45254</v>
      </c>
      <c r="N74" s="11">
        <v>599.97</v>
      </c>
      <c r="O74" s="11" t="str">
        <f t="shared" si="9"/>
        <v>Jul</v>
      </c>
      <c r="P74" s="15">
        <f t="shared" ca="1" si="10"/>
        <v>46078</v>
      </c>
      <c r="Q74" s="18">
        <f t="shared" ca="1" si="11"/>
        <v>46078.801391898145</v>
      </c>
      <c r="R74" s="11">
        <f t="shared" ca="1" si="12"/>
        <v>2</v>
      </c>
      <c r="S74" s="15">
        <f t="shared" si="13"/>
        <v>45504</v>
      </c>
      <c r="T74" s="11">
        <f t="shared" si="14"/>
        <v>8009.7699999999995</v>
      </c>
      <c r="U74" s="11" t="str">
        <f t="shared" si="15"/>
        <v>Normal</v>
      </c>
      <c r="V74" s="11">
        <f t="shared" si="16"/>
        <v>15</v>
      </c>
      <c r="W74" s="6" t="str">
        <f t="shared" si="17"/>
        <v>K.H</v>
      </c>
      <c r="Z74" t="str">
        <f ca="1"/>
        <v>TRX0088</v>
      </c>
      <c r="AA74">
        <f ca="1"/>
        <v>45456</v>
      </c>
      <c r="AB74" t="str">
        <f ca="1"/>
        <v>CUST006</v>
      </c>
      <c r="AC74" t="str">
        <f ca="1"/>
        <v>Lisa Anderson</v>
      </c>
      <c r="AD74" t="str">
        <f ca="1"/>
        <v>P010</v>
      </c>
      <c r="AE74" t="str">
        <f ca="1"/>
        <v>Keyboard</v>
      </c>
      <c r="AF74" t="str">
        <f ca="1"/>
        <v>Electronics</v>
      </c>
      <c r="AG74">
        <f ca="1"/>
        <v>5</v>
      </c>
      <c r="AH74">
        <f ca="1"/>
        <v>89.99</v>
      </c>
      <c r="AI74" t="str">
        <f ca="1"/>
        <v>Cash</v>
      </c>
      <c r="AJ74" t="str">
        <f ca="1"/>
        <v>Central</v>
      </c>
      <c r="AK74" t="str">
        <f ca="1"/>
        <v>Premium</v>
      </c>
      <c r="AL74">
        <f ca="1"/>
        <v>44579</v>
      </c>
      <c r="AM74">
        <f ca="1"/>
        <v>449.95</v>
      </c>
      <c r="AN74" t="str">
        <f ca="1"/>
        <v>Jun</v>
      </c>
      <c r="AO74">
        <f ca="1"/>
        <v>46078</v>
      </c>
      <c r="AP74">
        <f ca="1"/>
        <v>46078.801391898145</v>
      </c>
      <c r="AQ74">
        <f ca="1"/>
        <v>4</v>
      </c>
      <c r="AR74">
        <f ca="1"/>
        <v>45473</v>
      </c>
      <c r="AS74">
        <f ca="1"/>
        <v>2039.8000000000002</v>
      </c>
      <c r="AT74" t="str">
        <f ca="1"/>
        <v>Normal</v>
      </c>
      <c r="AU74">
        <f ca="1"/>
        <v>34</v>
      </c>
      <c r="AV74" t="str">
        <f ca="1"/>
        <v>L.A</v>
      </c>
    </row>
    <row r="75" spans="1:48" ht="15.75" customHeight="1" x14ac:dyDescent="0.3">
      <c r="A75" s="11" t="s">
        <v>202</v>
      </c>
      <c r="B75" s="15">
        <v>45496</v>
      </c>
      <c r="C75" s="11" t="s">
        <v>152</v>
      </c>
      <c r="D75" s="11" t="s">
        <v>153</v>
      </c>
      <c r="E75" s="11" t="s">
        <v>63</v>
      </c>
      <c r="F75" s="11" t="s">
        <v>64</v>
      </c>
      <c r="G75" s="11" t="s">
        <v>21</v>
      </c>
      <c r="H75" s="11">
        <v>1</v>
      </c>
      <c r="I75" s="11">
        <v>899.99</v>
      </c>
      <c r="J75" s="11" t="s">
        <v>22</v>
      </c>
      <c r="K75" s="11" t="s">
        <v>23</v>
      </c>
      <c r="L75" s="11" t="s">
        <v>38</v>
      </c>
      <c r="M75" s="14">
        <v>45179</v>
      </c>
      <c r="N75" s="11">
        <v>899.99</v>
      </c>
      <c r="O75" s="11" t="str">
        <f t="shared" si="9"/>
        <v>Jul</v>
      </c>
      <c r="P75" s="15">
        <f t="shared" ca="1" si="10"/>
        <v>46078</v>
      </c>
      <c r="Q75" s="18">
        <f t="shared" ca="1" si="11"/>
        <v>46078.801391898145</v>
      </c>
      <c r="R75" s="11">
        <f t="shared" ca="1" si="12"/>
        <v>2</v>
      </c>
      <c r="S75" s="15">
        <f t="shared" si="13"/>
        <v>45504</v>
      </c>
      <c r="T75" s="11">
        <f t="shared" si="14"/>
        <v>5619.869999999999</v>
      </c>
      <c r="U75" s="11" t="str">
        <f t="shared" si="15"/>
        <v>Normal</v>
      </c>
      <c r="V75" s="11">
        <f t="shared" si="16"/>
        <v>24</v>
      </c>
      <c r="W75" s="6" t="str">
        <f t="shared" si="17"/>
        <v>S.B</v>
      </c>
      <c r="Z75" t="str">
        <f ca="1"/>
        <v>TRX0078</v>
      </c>
      <c r="AA75">
        <f ca="1"/>
        <v>45469</v>
      </c>
      <c r="AB75" t="str">
        <f ca="1"/>
        <v>CUST021</v>
      </c>
      <c r="AC75" t="str">
        <f ca="1"/>
        <v>Kevin Scott</v>
      </c>
      <c r="AD75" t="str">
        <f ca="1"/>
        <v>P004</v>
      </c>
      <c r="AE75" t="str">
        <f ca="1"/>
        <v>Coffee Maker</v>
      </c>
      <c r="AF75" t="str">
        <f ca="1"/>
        <v>Appliances</v>
      </c>
      <c r="AG75">
        <f ca="1"/>
        <v>1</v>
      </c>
      <c r="AH75">
        <f ca="1"/>
        <v>79.989999999999995</v>
      </c>
      <c r="AI75" t="str">
        <f ca="1"/>
        <v>PayPal</v>
      </c>
      <c r="AJ75" t="str">
        <f ca="1"/>
        <v>Central</v>
      </c>
      <c r="AK75" t="str">
        <f ca="1"/>
        <v>Premium</v>
      </c>
      <c r="AL75">
        <f ca="1"/>
        <v>45352</v>
      </c>
      <c r="AM75">
        <f ca="1"/>
        <v>79.989999999999995</v>
      </c>
      <c r="AN75" t="str">
        <f ca="1"/>
        <v>Jun</v>
      </c>
      <c r="AO75">
        <f ca="1"/>
        <v>46078</v>
      </c>
      <c r="AP75">
        <f ca="1"/>
        <v>46078.801391898145</v>
      </c>
      <c r="AQ75">
        <f ca="1"/>
        <v>1</v>
      </c>
      <c r="AR75">
        <f ca="1"/>
        <v>45473</v>
      </c>
      <c r="AS75">
        <f ca="1"/>
        <v>3259.87</v>
      </c>
      <c r="AT75" t="str">
        <f ca="1"/>
        <v>Normal</v>
      </c>
      <c r="AU75">
        <f ca="1"/>
        <v>14</v>
      </c>
      <c r="AV75" t="str">
        <f ca="1"/>
        <v>K.S</v>
      </c>
    </row>
    <row r="76" spans="1:48" ht="15.75" customHeight="1" x14ac:dyDescent="0.3">
      <c r="A76" s="11" t="s">
        <v>203</v>
      </c>
      <c r="B76" s="15">
        <v>45497</v>
      </c>
      <c r="C76" s="11" t="s">
        <v>26</v>
      </c>
      <c r="D76" s="11" t="s">
        <v>27</v>
      </c>
      <c r="E76" s="11" t="s">
        <v>63</v>
      </c>
      <c r="F76" s="11" t="s">
        <v>64</v>
      </c>
      <c r="G76" s="11" t="s">
        <v>21</v>
      </c>
      <c r="H76" s="11">
        <v>5</v>
      </c>
      <c r="I76" s="11">
        <v>899.99</v>
      </c>
      <c r="J76" s="11" t="s">
        <v>59</v>
      </c>
      <c r="K76" s="11" t="s">
        <v>37</v>
      </c>
      <c r="L76" s="11" t="s">
        <v>38</v>
      </c>
      <c r="M76" s="14">
        <v>44899</v>
      </c>
      <c r="N76" s="11">
        <v>4499.95</v>
      </c>
      <c r="O76" s="11" t="str">
        <f t="shared" si="9"/>
        <v>Jul</v>
      </c>
      <c r="P76" s="15">
        <f t="shared" ca="1" si="10"/>
        <v>46078</v>
      </c>
      <c r="Q76" s="18">
        <f t="shared" ca="1" si="11"/>
        <v>46078.801391898145</v>
      </c>
      <c r="R76" s="11">
        <f t="shared" ca="1" si="12"/>
        <v>3</v>
      </c>
      <c r="S76" s="15">
        <f t="shared" si="13"/>
        <v>45504</v>
      </c>
      <c r="T76" s="11">
        <f t="shared" si="14"/>
        <v>6949.84</v>
      </c>
      <c r="U76" s="11" t="str">
        <f t="shared" si="15"/>
        <v>Normal</v>
      </c>
      <c r="V76" s="11">
        <f t="shared" si="16"/>
        <v>24</v>
      </c>
      <c r="W76" s="6" t="str">
        <f t="shared" si="17"/>
        <v>J.J</v>
      </c>
      <c r="Z76" t="str">
        <f ca="1"/>
        <v>TRX0096</v>
      </c>
      <c r="AA76">
        <f ca="1"/>
        <v>45474</v>
      </c>
      <c r="AB76" t="str">
        <f ca="1"/>
        <v>CUST002</v>
      </c>
      <c r="AC76" t="str">
        <f ca="1"/>
        <v>Emma Wilson</v>
      </c>
      <c r="AD76" t="str">
        <f ca="1"/>
        <v>P010</v>
      </c>
      <c r="AE76" t="str">
        <f ca="1"/>
        <v>Keyboard</v>
      </c>
      <c r="AF76" t="str">
        <f ca="1"/>
        <v>Electronics</v>
      </c>
      <c r="AG76">
        <f ca="1"/>
        <v>2</v>
      </c>
      <c r="AH76">
        <f ca="1"/>
        <v>89.99</v>
      </c>
      <c r="AI76" t="str">
        <f ca="1"/>
        <v>PayPal</v>
      </c>
      <c r="AJ76" t="str">
        <f ca="1"/>
        <v>Central</v>
      </c>
      <c r="AK76" t="str">
        <f ca="1"/>
        <v>Premium</v>
      </c>
      <c r="AL76">
        <f ca="1"/>
        <v>45275</v>
      </c>
      <c r="AM76">
        <f ca="1"/>
        <v>179.98</v>
      </c>
      <c r="AN76" t="str">
        <f ca="1"/>
        <v>Jul</v>
      </c>
      <c r="AO76">
        <f ca="1"/>
        <v>46078</v>
      </c>
      <c r="AP76">
        <f ca="1"/>
        <v>46078.801391898145</v>
      </c>
      <c r="AQ76">
        <f ca="1"/>
        <v>2</v>
      </c>
      <c r="AR76">
        <f ca="1"/>
        <v>45504</v>
      </c>
      <c r="AS76">
        <f ca="1"/>
        <v>1229.8800000000001</v>
      </c>
      <c r="AT76" t="str">
        <f ca="1"/>
        <v>Normal</v>
      </c>
      <c r="AU76">
        <f ca="1"/>
        <v>34</v>
      </c>
      <c r="AV76" t="str">
        <f ca="1"/>
        <v>E.W</v>
      </c>
    </row>
    <row r="77" spans="1:48" ht="15.75" customHeight="1" x14ac:dyDescent="0.3">
      <c r="A77" s="11" t="s">
        <v>204</v>
      </c>
      <c r="B77" s="15">
        <v>45498</v>
      </c>
      <c r="C77" s="11" t="s">
        <v>184</v>
      </c>
      <c r="D77" s="11" t="s">
        <v>185</v>
      </c>
      <c r="E77" s="11" t="s">
        <v>33</v>
      </c>
      <c r="F77" s="11" t="s">
        <v>34</v>
      </c>
      <c r="G77" s="11" t="s">
        <v>35</v>
      </c>
      <c r="H77" s="11">
        <v>2</v>
      </c>
      <c r="I77" s="11">
        <v>59.99</v>
      </c>
      <c r="J77" s="11" t="s">
        <v>22</v>
      </c>
      <c r="K77" s="11" t="s">
        <v>42</v>
      </c>
      <c r="L77" s="11" t="s">
        <v>38</v>
      </c>
      <c r="M77" s="14">
        <v>45152</v>
      </c>
      <c r="N77" s="11">
        <v>119.98</v>
      </c>
      <c r="O77" s="11" t="str">
        <f t="shared" si="9"/>
        <v>Jul</v>
      </c>
      <c r="P77" s="15">
        <f t="shared" ca="1" si="10"/>
        <v>46078</v>
      </c>
      <c r="Q77" s="18">
        <f t="shared" ca="1" si="11"/>
        <v>46078.801391898145</v>
      </c>
      <c r="R77" s="11">
        <f t="shared" ca="1" si="12"/>
        <v>2</v>
      </c>
      <c r="S77" s="15">
        <f t="shared" si="13"/>
        <v>45504</v>
      </c>
      <c r="T77" s="11">
        <f t="shared" si="14"/>
        <v>1809.84</v>
      </c>
      <c r="U77" s="11" t="str">
        <f t="shared" si="15"/>
        <v>Normal</v>
      </c>
      <c r="V77" s="11">
        <f t="shared" si="16"/>
        <v>29</v>
      </c>
      <c r="W77" s="6" t="str">
        <f t="shared" si="17"/>
        <v>D.M</v>
      </c>
      <c r="Z77" t="str">
        <f ca="1"/>
        <v>TRX0070</v>
      </c>
      <c r="AA77">
        <f ca="1"/>
        <v>45476</v>
      </c>
      <c r="AB77" t="str">
        <f ca="1"/>
        <v>CUST007</v>
      </c>
      <c r="AC77" t="str">
        <f ca="1"/>
        <v>David Martinez</v>
      </c>
      <c r="AD77" t="str">
        <f ca="1"/>
        <v>P004</v>
      </c>
      <c r="AE77" t="str">
        <f ca="1"/>
        <v>Coffee Maker</v>
      </c>
      <c r="AF77" t="str">
        <f ca="1"/>
        <v>Appliances</v>
      </c>
      <c r="AG77">
        <f ca="1"/>
        <v>5</v>
      </c>
      <c r="AH77">
        <f ca="1"/>
        <v>79.989999999999995</v>
      </c>
      <c r="AI77" t="str">
        <f ca="1"/>
        <v>Debit Card</v>
      </c>
      <c r="AJ77" t="str">
        <f ca="1"/>
        <v>Central</v>
      </c>
      <c r="AK77" t="str">
        <f ca="1"/>
        <v>Basic</v>
      </c>
      <c r="AL77">
        <f ca="1"/>
        <v>44981</v>
      </c>
      <c r="AM77">
        <f ca="1"/>
        <v>399.95</v>
      </c>
      <c r="AN77" t="str">
        <f ca="1"/>
        <v>Jul</v>
      </c>
      <c r="AO77">
        <f ca="1"/>
        <v>46078</v>
      </c>
      <c r="AP77">
        <f ca="1"/>
        <v>46078.801391898145</v>
      </c>
      <c r="AQ77">
        <f ca="1"/>
        <v>3</v>
      </c>
      <c r="AR77">
        <f ca="1"/>
        <v>45504</v>
      </c>
      <c r="AS77">
        <f ca="1"/>
        <v>1809.84</v>
      </c>
      <c r="AT77" t="str">
        <f ca="1"/>
        <v>Normal</v>
      </c>
      <c r="AU77">
        <f ca="1"/>
        <v>14</v>
      </c>
      <c r="AV77" t="str">
        <f ca="1"/>
        <v>D.M</v>
      </c>
    </row>
    <row r="78" spans="1:48" ht="15.75" customHeight="1" x14ac:dyDescent="0.3">
      <c r="A78" s="11" t="s">
        <v>205</v>
      </c>
      <c r="B78" s="15">
        <v>45498</v>
      </c>
      <c r="C78" s="11" t="s">
        <v>198</v>
      </c>
      <c r="D78" s="11" t="s">
        <v>199</v>
      </c>
      <c r="E78" s="11" t="s">
        <v>19</v>
      </c>
      <c r="F78" s="11" t="s">
        <v>20</v>
      </c>
      <c r="G78" s="11" t="s">
        <v>21</v>
      </c>
      <c r="H78" s="11">
        <v>4</v>
      </c>
      <c r="I78" s="11">
        <v>249.99</v>
      </c>
      <c r="J78" s="11" t="s">
        <v>59</v>
      </c>
      <c r="K78" s="11" t="s">
        <v>23</v>
      </c>
      <c r="L78" s="11" t="s">
        <v>38</v>
      </c>
      <c r="M78" s="14">
        <v>45127</v>
      </c>
      <c r="N78" s="11">
        <v>999.96</v>
      </c>
      <c r="O78" s="11" t="str">
        <f t="shared" si="9"/>
        <v>Jul</v>
      </c>
      <c r="P78" s="15">
        <f t="shared" ca="1" si="10"/>
        <v>46078</v>
      </c>
      <c r="Q78" s="18">
        <f t="shared" ca="1" si="11"/>
        <v>46078.801391898145</v>
      </c>
      <c r="R78" s="11">
        <f t="shared" ca="1" si="12"/>
        <v>2</v>
      </c>
      <c r="S78" s="15">
        <f t="shared" si="13"/>
        <v>45504</v>
      </c>
      <c r="T78" s="11">
        <f t="shared" si="14"/>
        <v>6379.87</v>
      </c>
      <c r="U78" s="11" t="str">
        <f t="shared" si="15"/>
        <v>Normal</v>
      </c>
      <c r="V78" s="11">
        <f t="shared" si="16"/>
        <v>26</v>
      </c>
      <c r="W78" s="6" t="str">
        <f t="shared" si="17"/>
        <v>G.M</v>
      </c>
      <c r="Z78" t="str">
        <f ca="1"/>
        <v>TRX0018</v>
      </c>
      <c r="AA78">
        <f ca="1"/>
        <v>45484</v>
      </c>
      <c r="AB78" t="str">
        <f ca="1"/>
        <v>CUST013</v>
      </c>
      <c r="AC78" t="str">
        <f ca="1"/>
        <v>Joseph Jackson</v>
      </c>
      <c r="AD78" t="str">
        <f ca="1"/>
        <v>P003</v>
      </c>
      <c r="AE78" t="str">
        <f ca="1"/>
        <v>Headphones</v>
      </c>
      <c r="AF78" t="str">
        <f ca="1"/>
        <v>Electronics</v>
      </c>
      <c r="AG78">
        <f ca="1"/>
        <v>1</v>
      </c>
      <c r="AH78">
        <f ca="1"/>
        <v>149.99</v>
      </c>
      <c r="AI78" t="str">
        <f ca="1"/>
        <v>Cash</v>
      </c>
      <c r="AJ78" t="str">
        <f ca="1"/>
        <v>Central</v>
      </c>
      <c r="AK78" t="str">
        <f ca="1"/>
        <v>Standard</v>
      </c>
      <c r="AL78">
        <f ca="1"/>
        <v>44909</v>
      </c>
      <c r="AM78">
        <f ca="1"/>
        <v>149.99</v>
      </c>
      <c r="AN78" t="str">
        <f ca="1"/>
        <v>Jul</v>
      </c>
      <c r="AO78">
        <f ca="1"/>
        <v>46078</v>
      </c>
      <c r="AP78">
        <f ca="1"/>
        <v>46078.801391898145</v>
      </c>
      <c r="AQ78">
        <f ca="1"/>
        <v>3</v>
      </c>
      <c r="AR78">
        <f ca="1"/>
        <v>45504</v>
      </c>
      <c r="AS78">
        <f ca="1"/>
        <v>6949.84</v>
      </c>
      <c r="AT78" t="str">
        <f ca="1"/>
        <v>Normal</v>
      </c>
      <c r="AU78">
        <f ca="1"/>
        <v>16</v>
      </c>
      <c r="AV78" t="str">
        <f ca="1"/>
        <v>J.J</v>
      </c>
    </row>
    <row r="79" spans="1:48" ht="15.75" customHeight="1" x14ac:dyDescent="0.3">
      <c r="A79" s="11" t="s">
        <v>206</v>
      </c>
      <c r="B79" s="15">
        <v>45500</v>
      </c>
      <c r="C79" s="11" t="s">
        <v>98</v>
      </c>
      <c r="D79" s="11" t="s">
        <v>99</v>
      </c>
      <c r="E79" s="11" t="s">
        <v>19</v>
      </c>
      <c r="F79" s="11" t="s">
        <v>20</v>
      </c>
      <c r="G79" s="11" t="s">
        <v>21</v>
      </c>
      <c r="H79" s="11">
        <v>2</v>
      </c>
      <c r="I79" s="11">
        <v>249.99</v>
      </c>
      <c r="J79" s="11" t="s">
        <v>22</v>
      </c>
      <c r="K79" s="11" t="s">
        <v>42</v>
      </c>
      <c r="L79" s="11" t="s">
        <v>29</v>
      </c>
      <c r="M79" s="14">
        <v>45164</v>
      </c>
      <c r="N79" s="11">
        <v>499.98</v>
      </c>
      <c r="O79" s="11" t="str">
        <f t="shared" si="9"/>
        <v>Jul</v>
      </c>
      <c r="P79" s="15">
        <f t="shared" ca="1" si="10"/>
        <v>46078</v>
      </c>
      <c r="Q79" s="18">
        <f t="shared" ca="1" si="11"/>
        <v>46078.801391898145</v>
      </c>
      <c r="R79" s="11">
        <f t="shared" ca="1" si="12"/>
        <v>2</v>
      </c>
      <c r="S79" s="15">
        <f t="shared" si="13"/>
        <v>45504</v>
      </c>
      <c r="T79" s="11">
        <f t="shared" si="14"/>
        <v>10649.8</v>
      </c>
      <c r="U79" s="11" t="str">
        <f t="shared" si="15"/>
        <v>High</v>
      </c>
      <c r="V79" s="11">
        <f t="shared" si="16"/>
        <v>26</v>
      </c>
      <c r="W79" s="6" t="str">
        <f t="shared" si="17"/>
        <v>B.Y</v>
      </c>
      <c r="Z79" t="str">
        <f ca="1"/>
        <v>TRX0216</v>
      </c>
      <c r="AA79">
        <f ca="1"/>
        <v>45490</v>
      </c>
      <c r="AB79" t="str">
        <f ca="1"/>
        <v>CUST041</v>
      </c>
      <c r="AC79" t="str">
        <f ca="1"/>
        <v>Peter Richardson</v>
      </c>
      <c r="AD79" t="str">
        <f ca="1"/>
        <v>P008</v>
      </c>
      <c r="AE79" t="str">
        <f ca="1"/>
        <v>Bookshelf</v>
      </c>
      <c r="AF79" t="str">
        <f ca="1"/>
        <v>Furniture</v>
      </c>
      <c r="AG79">
        <f ca="1"/>
        <v>3</v>
      </c>
      <c r="AH79">
        <f ca="1"/>
        <v>149.99</v>
      </c>
      <c r="AI79" t="str">
        <f ca="1"/>
        <v>Cash</v>
      </c>
      <c r="AJ79" t="str">
        <f ca="1"/>
        <v>Central</v>
      </c>
      <c r="AK79" t="str">
        <f ca="1"/>
        <v>Premium</v>
      </c>
      <c r="AL79">
        <f ca="1"/>
        <v>45199</v>
      </c>
      <c r="AM79">
        <f ca="1"/>
        <v>449.97</v>
      </c>
      <c r="AN79" t="str">
        <f ca="1"/>
        <v>Jul</v>
      </c>
      <c r="AO79">
        <f ca="1"/>
        <v>46078</v>
      </c>
      <c r="AP79">
        <f ca="1"/>
        <v>46078.801391898145</v>
      </c>
      <c r="AQ79">
        <f ca="1"/>
        <v>2</v>
      </c>
      <c r="AR79">
        <f ca="1"/>
        <v>45504</v>
      </c>
      <c r="AS79">
        <f ca="1"/>
        <v>5949.85</v>
      </c>
      <c r="AT79" t="str">
        <f ca="1"/>
        <v>Normal</v>
      </c>
      <c r="AU79">
        <f ca="1"/>
        <v>35</v>
      </c>
      <c r="AV79" t="str">
        <f ca="1"/>
        <v>P.R</v>
      </c>
    </row>
    <row r="80" spans="1:48" ht="15.75" customHeight="1" x14ac:dyDescent="0.3">
      <c r="A80" s="11" t="s">
        <v>207</v>
      </c>
      <c r="B80" s="15">
        <v>45500</v>
      </c>
      <c r="C80" s="11" t="s">
        <v>149</v>
      </c>
      <c r="D80" s="11" t="s">
        <v>150</v>
      </c>
      <c r="E80" s="11" t="s">
        <v>107</v>
      </c>
      <c r="F80" s="11" t="s">
        <v>108</v>
      </c>
      <c r="G80" s="11" t="s">
        <v>48</v>
      </c>
      <c r="H80" s="11">
        <v>1</v>
      </c>
      <c r="I80" s="11">
        <v>299.99</v>
      </c>
      <c r="J80" s="11" t="s">
        <v>22</v>
      </c>
      <c r="K80" s="11" t="s">
        <v>37</v>
      </c>
      <c r="L80" s="11" t="s">
        <v>24</v>
      </c>
      <c r="M80" s="14">
        <v>44982</v>
      </c>
      <c r="N80" s="11">
        <v>299.99</v>
      </c>
      <c r="O80" s="11" t="str">
        <f t="shared" si="9"/>
        <v>Jul</v>
      </c>
      <c r="P80" s="15">
        <f t="shared" ca="1" si="10"/>
        <v>46078</v>
      </c>
      <c r="Q80" s="18">
        <f t="shared" ca="1" si="11"/>
        <v>46078.801391898145</v>
      </c>
      <c r="R80" s="11">
        <f t="shared" ca="1" si="12"/>
        <v>3</v>
      </c>
      <c r="S80" s="15">
        <f t="shared" si="13"/>
        <v>45504</v>
      </c>
      <c r="T80" s="11">
        <f t="shared" si="14"/>
        <v>7309.7999999999993</v>
      </c>
      <c r="U80" s="11" t="str">
        <f t="shared" si="15"/>
        <v>Normal</v>
      </c>
      <c r="V80" s="11">
        <f t="shared" si="16"/>
        <v>26</v>
      </c>
      <c r="W80" s="6" t="str">
        <f t="shared" si="17"/>
        <v>D.K</v>
      </c>
      <c r="Z80" t="str">
        <f ca="1"/>
        <v>TRX0162</v>
      </c>
      <c r="AA80">
        <f ca="1"/>
        <v>45496</v>
      </c>
      <c r="AB80" t="str">
        <f ca="1"/>
        <v>CUST040</v>
      </c>
      <c r="AC80" t="str">
        <f ca="1"/>
        <v>Sharon Butler</v>
      </c>
      <c r="AD80" t="str">
        <f ca="1"/>
        <v>P001</v>
      </c>
      <c r="AE80" t="str">
        <f ca="1"/>
        <v>Laptop</v>
      </c>
      <c r="AF80" t="str">
        <f ca="1"/>
        <v>Electronics</v>
      </c>
      <c r="AG80">
        <f ca="1"/>
        <v>1</v>
      </c>
      <c r="AH80">
        <f ca="1"/>
        <v>899.99</v>
      </c>
      <c r="AI80" t="str">
        <f ca="1"/>
        <v>Cash</v>
      </c>
      <c r="AJ80" t="str">
        <f ca="1"/>
        <v>Central</v>
      </c>
      <c r="AK80" t="str">
        <f ca="1"/>
        <v>Standard</v>
      </c>
      <c r="AL80">
        <f ca="1"/>
        <v>45179</v>
      </c>
      <c r="AM80">
        <f ca="1"/>
        <v>899.99</v>
      </c>
      <c r="AN80" t="str">
        <f ca="1"/>
        <v>Jul</v>
      </c>
      <c r="AO80">
        <f ca="1"/>
        <v>46078</v>
      </c>
      <c r="AP80">
        <f ca="1"/>
        <v>46078.801391898145</v>
      </c>
      <c r="AQ80">
        <f ca="1"/>
        <v>2</v>
      </c>
      <c r="AR80">
        <f ca="1"/>
        <v>45504</v>
      </c>
      <c r="AS80">
        <f ca="1"/>
        <v>5619.869999999999</v>
      </c>
      <c r="AT80" t="str">
        <f ca="1"/>
        <v>Normal</v>
      </c>
      <c r="AU80">
        <f ca="1"/>
        <v>24</v>
      </c>
      <c r="AV80" t="str">
        <f ca="1"/>
        <v>S.B</v>
      </c>
    </row>
    <row r="81" spans="1:48" ht="15.75" customHeight="1" x14ac:dyDescent="0.3">
      <c r="A81" s="11" t="s">
        <v>208</v>
      </c>
      <c r="B81" s="15">
        <v>45501</v>
      </c>
      <c r="C81" s="11" t="s">
        <v>88</v>
      </c>
      <c r="D81" s="11" t="s">
        <v>89</v>
      </c>
      <c r="E81" s="11" t="s">
        <v>119</v>
      </c>
      <c r="F81" s="11" t="s">
        <v>120</v>
      </c>
      <c r="G81" s="11" t="s">
        <v>21</v>
      </c>
      <c r="H81" s="11">
        <v>2</v>
      </c>
      <c r="I81" s="11">
        <v>89.99</v>
      </c>
      <c r="J81" s="11" t="s">
        <v>36</v>
      </c>
      <c r="K81" s="11" t="s">
        <v>37</v>
      </c>
      <c r="L81" s="11" t="s">
        <v>24</v>
      </c>
      <c r="M81" s="14">
        <v>44976</v>
      </c>
      <c r="N81" s="11">
        <v>179.98</v>
      </c>
      <c r="O81" s="11" t="str">
        <f t="shared" si="9"/>
        <v>Jul</v>
      </c>
      <c r="P81" s="15">
        <f t="shared" ca="1" si="10"/>
        <v>46078</v>
      </c>
      <c r="Q81" s="18">
        <f t="shared" ca="1" si="11"/>
        <v>46078.801391898145</v>
      </c>
      <c r="R81" s="11">
        <f t="shared" ca="1" si="12"/>
        <v>3</v>
      </c>
      <c r="S81" s="15">
        <f t="shared" si="13"/>
        <v>45504</v>
      </c>
      <c r="T81" s="11">
        <f t="shared" si="14"/>
        <v>15659.65</v>
      </c>
      <c r="U81" s="11" t="str">
        <f t="shared" si="15"/>
        <v>High</v>
      </c>
      <c r="V81" s="11">
        <f t="shared" si="16"/>
        <v>34</v>
      </c>
      <c r="W81" s="6" t="str">
        <f t="shared" si="17"/>
        <v>M.C</v>
      </c>
      <c r="Z81" t="str">
        <f ca="1"/>
        <v>TRX0215</v>
      </c>
      <c r="AA81">
        <f ca="1"/>
        <v>45498</v>
      </c>
      <c r="AB81" t="str">
        <f ca="1"/>
        <v>CUST047</v>
      </c>
      <c r="AC81" t="str">
        <f ca="1"/>
        <v>Gerald Murphy</v>
      </c>
      <c r="AD81" t="str">
        <f ca="1"/>
        <v>P009</v>
      </c>
      <c r="AE81" t="str">
        <f ca="1"/>
        <v>Monitor</v>
      </c>
      <c r="AF81" t="str">
        <f ca="1"/>
        <v>Electronics</v>
      </c>
      <c r="AG81">
        <f ca="1"/>
        <v>4</v>
      </c>
      <c r="AH81">
        <f ca="1"/>
        <v>249.99</v>
      </c>
      <c r="AI81" t="str">
        <f ca="1"/>
        <v>Debit Card</v>
      </c>
      <c r="AJ81" t="str">
        <f ca="1"/>
        <v>Central</v>
      </c>
      <c r="AK81" t="str">
        <f ca="1"/>
        <v>Standard</v>
      </c>
      <c r="AL81">
        <f ca="1"/>
        <v>45127</v>
      </c>
      <c r="AM81">
        <f ca="1"/>
        <v>999.96</v>
      </c>
      <c r="AN81" t="str">
        <f ca="1"/>
        <v>Jul</v>
      </c>
      <c r="AO81">
        <f ca="1"/>
        <v>46078</v>
      </c>
      <c r="AP81">
        <f ca="1"/>
        <v>46078.801391898145</v>
      </c>
      <c r="AQ81">
        <f ca="1"/>
        <v>2</v>
      </c>
      <c r="AR81">
        <f ca="1"/>
        <v>45504</v>
      </c>
      <c r="AS81">
        <f ca="1"/>
        <v>6379.87</v>
      </c>
      <c r="AT81" t="str">
        <f ca="1"/>
        <v>Normal</v>
      </c>
      <c r="AU81">
        <f ca="1"/>
        <v>26</v>
      </c>
      <c r="AV81" t="str">
        <f ca="1"/>
        <v>G.M</v>
      </c>
    </row>
    <row r="82" spans="1:48" ht="15.75" customHeight="1" x14ac:dyDescent="0.3">
      <c r="A82" s="11" t="s">
        <v>209</v>
      </c>
      <c r="B82" s="15">
        <v>45501</v>
      </c>
      <c r="C82" s="11" t="s">
        <v>149</v>
      </c>
      <c r="D82" s="11" t="s">
        <v>150</v>
      </c>
      <c r="E82" s="11" t="s">
        <v>107</v>
      </c>
      <c r="F82" s="11" t="s">
        <v>108</v>
      </c>
      <c r="G82" s="11" t="s">
        <v>48</v>
      </c>
      <c r="H82" s="11">
        <v>3</v>
      </c>
      <c r="I82" s="11">
        <v>299.99</v>
      </c>
      <c r="J82" s="11" t="s">
        <v>22</v>
      </c>
      <c r="K82" s="11" t="s">
        <v>23</v>
      </c>
      <c r="L82" s="11" t="s">
        <v>24</v>
      </c>
      <c r="M82" s="14">
        <v>44732</v>
      </c>
      <c r="N82" s="11">
        <v>899.97</v>
      </c>
      <c r="O82" s="11" t="str">
        <f t="shared" si="9"/>
        <v>Jul</v>
      </c>
      <c r="P82" s="15">
        <f t="shared" ca="1" si="10"/>
        <v>46078</v>
      </c>
      <c r="Q82" s="18">
        <f t="shared" ca="1" si="11"/>
        <v>46078.801391898145</v>
      </c>
      <c r="R82" s="11">
        <f t="shared" ca="1" si="12"/>
        <v>3</v>
      </c>
      <c r="S82" s="15">
        <f t="shared" si="13"/>
        <v>45504</v>
      </c>
      <c r="T82" s="11">
        <f t="shared" si="14"/>
        <v>7309.7999999999993</v>
      </c>
      <c r="U82" s="11" t="str">
        <f t="shared" si="15"/>
        <v>Normal</v>
      </c>
      <c r="V82" s="11">
        <f t="shared" si="16"/>
        <v>26</v>
      </c>
      <c r="W82" s="6" t="str">
        <f t="shared" si="17"/>
        <v>D.K</v>
      </c>
      <c r="Z82" t="str">
        <f ca="1"/>
        <v>TRX0002</v>
      </c>
      <c r="AA82">
        <f ca="1"/>
        <v>45501</v>
      </c>
      <c r="AB82" t="str">
        <f ca="1"/>
        <v>CUST019</v>
      </c>
      <c r="AC82" t="str">
        <f ca="1"/>
        <v>Daniel King</v>
      </c>
      <c r="AD82" t="str">
        <f ca="1"/>
        <v>P007</v>
      </c>
      <c r="AE82" t="str">
        <f ca="1"/>
        <v>Desk</v>
      </c>
      <c r="AF82" t="str">
        <f ca="1"/>
        <v>Furniture</v>
      </c>
      <c r="AG82">
        <f ca="1"/>
        <v>3</v>
      </c>
      <c r="AH82">
        <f ca="1"/>
        <v>299.99</v>
      </c>
      <c r="AI82" t="str">
        <f ca="1"/>
        <v>Cash</v>
      </c>
      <c r="AJ82" t="str">
        <f ca="1"/>
        <v>Central</v>
      </c>
      <c r="AK82" t="str">
        <f ca="1"/>
        <v>Basic</v>
      </c>
      <c r="AL82">
        <f ca="1"/>
        <v>44732</v>
      </c>
      <c r="AM82">
        <f ca="1"/>
        <v>899.97</v>
      </c>
      <c r="AN82" t="str">
        <f ca="1"/>
        <v>Jul</v>
      </c>
      <c r="AO82">
        <f ca="1"/>
        <v>46078</v>
      </c>
      <c r="AP82">
        <f ca="1"/>
        <v>46078.801391898145</v>
      </c>
      <c r="AQ82">
        <f ca="1"/>
        <v>3</v>
      </c>
      <c r="AR82">
        <f ca="1"/>
        <v>45504</v>
      </c>
      <c r="AS82">
        <f ca="1"/>
        <v>7309.7999999999993</v>
      </c>
      <c r="AT82" t="str">
        <f ca="1"/>
        <v>Normal</v>
      </c>
      <c r="AU82">
        <f ca="1"/>
        <v>26</v>
      </c>
      <c r="AV82" t="str">
        <f ca="1"/>
        <v>D.K</v>
      </c>
    </row>
    <row r="83" spans="1:48" ht="15.75" customHeight="1" x14ac:dyDescent="0.3">
      <c r="A83" s="11" t="s">
        <v>210</v>
      </c>
      <c r="B83" s="15">
        <v>45503</v>
      </c>
      <c r="C83" s="11" t="s">
        <v>88</v>
      </c>
      <c r="D83" s="11" t="s">
        <v>89</v>
      </c>
      <c r="E83" s="11" t="s">
        <v>82</v>
      </c>
      <c r="F83" s="11" t="s">
        <v>83</v>
      </c>
      <c r="G83" s="11" t="s">
        <v>21</v>
      </c>
      <c r="H83" s="11">
        <v>2</v>
      </c>
      <c r="I83" s="11">
        <v>699.99</v>
      </c>
      <c r="J83" s="11" t="s">
        <v>28</v>
      </c>
      <c r="K83" s="11" t="s">
        <v>42</v>
      </c>
      <c r="L83" s="11" t="s">
        <v>29</v>
      </c>
      <c r="M83" s="14">
        <v>44999</v>
      </c>
      <c r="N83" s="11">
        <v>1399.98</v>
      </c>
      <c r="O83" s="11" t="str">
        <f t="shared" si="9"/>
        <v>Jul</v>
      </c>
      <c r="P83" s="15">
        <f t="shared" ca="1" si="10"/>
        <v>46078</v>
      </c>
      <c r="Q83" s="18">
        <f t="shared" ca="1" si="11"/>
        <v>46078.801391898145</v>
      </c>
      <c r="R83" s="11">
        <f t="shared" ca="1" si="12"/>
        <v>2</v>
      </c>
      <c r="S83" s="15">
        <f t="shared" si="13"/>
        <v>45504</v>
      </c>
      <c r="T83" s="11">
        <f t="shared" si="14"/>
        <v>15659.65</v>
      </c>
      <c r="U83" s="11" t="str">
        <f t="shared" si="15"/>
        <v>High</v>
      </c>
      <c r="V83" s="11">
        <f t="shared" si="16"/>
        <v>31</v>
      </c>
      <c r="W83" s="6" t="str">
        <f t="shared" si="17"/>
        <v>M.C</v>
      </c>
      <c r="Z83" t="str">
        <f ca="1"/>
        <v>TRX0236</v>
      </c>
      <c r="AA83">
        <f ca="1"/>
        <v>45526</v>
      </c>
      <c r="AB83" t="str">
        <f ca="1"/>
        <v>CUST044</v>
      </c>
      <c r="AC83" t="str">
        <f ca="1"/>
        <v>Cynthia Price</v>
      </c>
      <c r="AD83" t="str">
        <f ca="1"/>
        <v>P008</v>
      </c>
      <c r="AE83" t="str">
        <f ca="1"/>
        <v>Bookshelf</v>
      </c>
      <c r="AF83" t="str">
        <f ca="1"/>
        <v>Furniture</v>
      </c>
      <c r="AG83">
        <f ca="1"/>
        <v>5</v>
      </c>
      <c r="AH83">
        <f ca="1"/>
        <v>149.99</v>
      </c>
      <c r="AI83" t="str">
        <f ca="1"/>
        <v>Credit Card</v>
      </c>
      <c r="AJ83" t="str">
        <f ca="1"/>
        <v>Central</v>
      </c>
      <c r="AK83" t="str">
        <f ca="1"/>
        <v>Basic</v>
      </c>
      <c r="AL83">
        <f ca="1"/>
        <v>45310</v>
      </c>
      <c r="AM83">
        <f ca="1"/>
        <v>749.95</v>
      </c>
      <c r="AN83" t="str">
        <f ca="1"/>
        <v>Aug</v>
      </c>
      <c r="AO83">
        <f ca="1"/>
        <v>46078</v>
      </c>
      <c r="AP83">
        <f ca="1"/>
        <v>46078.801391898145</v>
      </c>
      <c r="AQ83">
        <f ca="1"/>
        <v>2</v>
      </c>
      <c r="AR83">
        <f ca="1"/>
        <v>45535</v>
      </c>
      <c r="AS83">
        <f ca="1"/>
        <v>3769.8300000000004</v>
      </c>
      <c r="AT83" t="str">
        <f ca="1"/>
        <v>Normal</v>
      </c>
      <c r="AU83">
        <f ca="1"/>
        <v>35</v>
      </c>
      <c r="AV83" t="str">
        <f ca="1"/>
        <v>C.P</v>
      </c>
    </row>
    <row r="84" spans="1:48" ht="15.75" customHeight="1" x14ac:dyDescent="0.3">
      <c r="A84" s="11" t="s">
        <v>211</v>
      </c>
      <c r="B84" s="15">
        <v>45504</v>
      </c>
      <c r="C84" s="11" t="s">
        <v>122</v>
      </c>
      <c r="D84" s="11" t="s">
        <v>123</v>
      </c>
      <c r="E84" s="11" t="s">
        <v>63</v>
      </c>
      <c r="F84" s="11" t="s">
        <v>64</v>
      </c>
      <c r="G84" s="11" t="s">
        <v>21</v>
      </c>
      <c r="H84" s="11">
        <v>4</v>
      </c>
      <c r="I84" s="11">
        <v>899.99</v>
      </c>
      <c r="J84" s="11" t="s">
        <v>59</v>
      </c>
      <c r="K84" s="11" t="s">
        <v>37</v>
      </c>
      <c r="L84" s="11" t="s">
        <v>38</v>
      </c>
      <c r="M84" s="14">
        <v>44523</v>
      </c>
      <c r="N84" s="11">
        <v>3599.96</v>
      </c>
      <c r="O84" s="11" t="str">
        <f t="shared" si="9"/>
        <v>Jul</v>
      </c>
      <c r="P84" s="15">
        <f t="shared" ca="1" si="10"/>
        <v>46078</v>
      </c>
      <c r="Q84" s="18">
        <f t="shared" ca="1" si="11"/>
        <v>46078.801391898145</v>
      </c>
      <c r="R84" s="11">
        <f t="shared" ca="1" si="12"/>
        <v>4</v>
      </c>
      <c r="S84" s="15">
        <f t="shared" si="13"/>
        <v>45504</v>
      </c>
      <c r="T84" s="11">
        <f t="shared" si="14"/>
        <v>6459.79</v>
      </c>
      <c r="U84" s="11" t="str">
        <f t="shared" si="15"/>
        <v>Normal</v>
      </c>
      <c r="V84" s="11">
        <f t="shared" si="16"/>
        <v>24</v>
      </c>
      <c r="W84" s="6" t="str">
        <f t="shared" si="17"/>
        <v>H.R</v>
      </c>
      <c r="Z84" t="str">
        <f ca="1"/>
        <v>TRX0001</v>
      </c>
      <c r="AA84">
        <f ca="1"/>
        <v>45528</v>
      </c>
      <c r="AB84" t="str">
        <f ca="1"/>
        <v>CUST039</v>
      </c>
      <c r="AC84" t="str">
        <f ca="1"/>
        <v>Lawrence Reed</v>
      </c>
      <c r="AD84" t="str">
        <f ca="1"/>
        <v>P004</v>
      </c>
      <c r="AE84" t="str">
        <f ca="1"/>
        <v>Coffee Maker</v>
      </c>
      <c r="AF84" t="str">
        <f ca="1"/>
        <v>Appliances</v>
      </c>
      <c r="AG84">
        <f ca="1"/>
        <v>3</v>
      </c>
      <c r="AH84">
        <f ca="1"/>
        <v>79.989999999999995</v>
      </c>
      <c r="AI84" t="str">
        <f ca="1"/>
        <v>Cash</v>
      </c>
      <c r="AJ84" t="str">
        <f ca="1"/>
        <v>Central</v>
      </c>
      <c r="AK84" t="str">
        <f ca="1"/>
        <v>Premium</v>
      </c>
      <c r="AL84">
        <f ca="1"/>
        <v>44779</v>
      </c>
      <c r="AM84">
        <f ca="1"/>
        <v>239.97</v>
      </c>
      <c r="AN84" t="str">
        <f ca="1"/>
        <v>Aug</v>
      </c>
      <c r="AO84">
        <f ca="1"/>
        <v>46078</v>
      </c>
      <c r="AP84">
        <f ca="1"/>
        <v>46078.801391898145</v>
      </c>
      <c r="AQ84">
        <f ca="1"/>
        <v>3</v>
      </c>
      <c r="AR84">
        <f ca="1"/>
        <v>45535</v>
      </c>
      <c r="AS84">
        <f ca="1"/>
        <v>6989.7699999999986</v>
      </c>
      <c r="AT84" t="str">
        <f ca="1"/>
        <v>Normal</v>
      </c>
      <c r="AU84">
        <f ca="1"/>
        <v>14</v>
      </c>
      <c r="AV84" t="str">
        <f ca="1"/>
        <v>L.R</v>
      </c>
    </row>
    <row r="85" spans="1:48" ht="15.75" customHeight="1" x14ac:dyDescent="0.3">
      <c r="A85" s="11" t="s">
        <v>212</v>
      </c>
      <c r="B85" s="15">
        <v>45509</v>
      </c>
      <c r="C85" s="11" t="s">
        <v>213</v>
      </c>
      <c r="D85" s="11" t="s">
        <v>214</v>
      </c>
      <c r="E85" s="11" t="s">
        <v>46</v>
      </c>
      <c r="F85" s="11" t="s">
        <v>47</v>
      </c>
      <c r="G85" s="11" t="s">
        <v>48</v>
      </c>
      <c r="H85" s="11">
        <v>2</v>
      </c>
      <c r="I85" s="11">
        <v>149.99</v>
      </c>
      <c r="J85" s="11" t="s">
        <v>28</v>
      </c>
      <c r="K85" s="11" t="s">
        <v>52</v>
      </c>
      <c r="L85" s="11" t="s">
        <v>24</v>
      </c>
      <c r="M85" s="14">
        <v>44542</v>
      </c>
      <c r="N85" s="11">
        <v>299.98</v>
      </c>
      <c r="O85" s="11" t="str">
        <f t="shared" si="9"/>
        <v>Aug</v>
      </c>
      <c r="P85" s="15">
        <f t="shared" ca="1" si="10"/>
        <v>46078</v>
      </c>
      <c r="Q85" s="18">
        <f t="shared" ca="1" si="11"/>
        <v>46078.801391898145</v>
      </c>
      <c r="R85" s="11">
        <f t="shared" ca="1" si="12"/>
        <v>4</v>
      </c>
      <c r="S85" s="15">
        <f t="shared" si="13"/>
        <v>45535</v>
      </c>
      <c r="T85" s="11">
        <f t="shared" si="14"/>
        <v>3649.8599999999997</v>
      </c>
      <c r="U85" s="11" t="str">
        <f t="shared" si="15"/>
        <v>Normal</v>
      </c>
      <c r="V85" s="11">
        <f t="shared" si="16"/>
        <v>35</v>
      </c>
      <c r="W85" s="6" t="str">
        <f t="shared" si="17"/>
        <v>E.H</v>
      </c>
      <c r="Z85" t="str">
        <f ca="1"/>
        <v>TRX0058</v>
      </c>
      <c r="AA85">
        <f ca="1"/>
        <v>45532</v>
      </c>
      <c r="AB85" t="str">
        <f ca="1"/>
        <v>CUST047</v>
      </c>
      <c r="AC85" t="str">
        <f ca="1"/>
        <v>Gerald Murphy</v>
      </c>
      <c r="AD85" t="str">
        <f ca="1"/>
        <v>P002</v>
      </c>
      <c r="AE85" t="str">
        <f ca="1"/>
        <v>Smartphone</v>
      </c>
      <c r="AF85" t="str">
        <f ca="1"/>
        <v>Electronics</v>
      </c>
      <c r="AG85">
        <f ca="1"/>
        <v>1</v>
      </c>
      <c r="AH85">
        <f ca="1"/>
        <v>699.99</v>
      </c>
      <c r="AI85" t="str">
        <f ca="1"/>
        <v>Cash</v>
      </c>
      <c r="AJ85" t="str">
        <f ca="1"/>
        <v>Central</v>
      </c>
      <c r="AK85" t="str">
        <f ca="1"/>
        <v>Premium</v>
      </c>
      <c r="AL85">
        <f ca="1"/>
        <v>44497</v>
      </c>
      <c r="AM85">
        <f ca="1"/>
        <v>699.99</v>
      </c>
      <c r="AN85" t="str">
        <f ca="1"/>
        <v>Aug</v>
      </c>
      <c r="AO85">
        <f ca="1"/>
        <v>46078</v>
      </c>
      <c r="AP85">
        <f ca="1"/>
        <v>46078.801391898145</v>
      </c>
      <c r="AQ85">
        <f ca="1"/>
        <v>4</v>
      </c>
      <c r="AR85">
        <f ca="1"/>
        <v>45535</v>
      </c>
      <c r="AS85">
        <f ca="1"/>
        <v>6379.87</v>
      </c>
      <c r="AT85" t="str">
        <f ca="1"/>
        <v>Normal</v>
      </c>
      <c r="AU85">
        <f ca="1"/>
        <v>31</v>
      </c>
      <c r="AV85" t="str">
        <f ca="1"/>
        <v>G.M</v>
      </c>
    </row>
    <row r="86" spans="1:48" ht="15.75" customHeight="1" x14ac:dyDescent="0.3">
      <c r="A86" s="11" t="s">
        <v>215</v>
      </c>
      <c r="B86" s="15">
        <v>45510</v>
      </c>
      <c r="C86" s="11" t="s">
        <v>104</v>
      </c>
      <c r="D86" s="11" t="s">
        <v>105</v>
      </c>
      <c r="E86" s="11" t="s">
        <v>46</v>
      </c>
      <c r="F86" s="11" t="s">
        <v>47</v>
      </c>
      <c r="G86" s="11" t="s">
        <v>48</v>
      </c>
      <c r="H86" s="11">
        <v>2</v>
      </c>
      <c r="I86" s="11">
        <v>149.99</v>
      </c>
      <c r="J86" s="11" t="s">
        <v>59</v>
      </c>
      <c r="K86" s="11" t="s">
        <v>65</v>
      </c>
      <c r="L86" s="11" t="s">
        <v>38</v>
      </c>
      <c r="M86" s="14">
        <v>44667</v>
      </c>
      <c r="N86" s="11">
        <v>299.98</v>
      </c>
      <c r="O86" s="11" t="str">
        <f t="shared" si="9"/>
        <v>Aug</v>
      </c>
      <c r="P86" s="15">
        <f t="shared" ca="1" si="10"/>
        <v>46078</v>
      </c>
      <c r="Q86" s="18">
        <f t="shared" ca="1" si="11"/>
        <v>46078.801391898145</v>
      </c>
      <c r="R86" s="11">
        <f t="shared" ca="1" si="12"/>
        <v>3</v>
      </c>
      <c r="S86" s="15">
        <f t="shared" si="13"/>
        <v>45535</v>
      </c>
      <c r="T86" s="11">
        <f t="shared" si="14"/>
        <v>3769.8300000000004</v>
      </c>
      <c r="U86" s="11" t="str">
        <f t="shared" si="15"/>
        <v>Normal</v>
      </c>
      <c r="V86" s="11">
        <f t="shared" si="16"/>
        <v>35</v>
      </c>
      <c r="W86" s="6" t="str">
        <f t="shared" si="17"/>
        <v>C.P</v>
      </c>
      <c r="Z86" t="str">
        <f ca="1"/>
        <v>TRX0225</v>
      </c>
      <c r="AA86">
        <f ca="1"/>
        <v>45538</v>
      </c>
      <c r="AB86" t="str">
        <f ca="1"/>
        <v>CUST039</v>
      </c>
      <c r="AC86" t="str">
        <f ca="1"/>
        <v>Lawrence Reed</v>
      </c>
      <c r="AD86" t="str">
        <f ca="1"/>
        <v>P002</v>
      </c>
      <c r="AE86" t="str">
        <f ca="1"/>
        <v>Smartphone</v>
      </c>
      <c r="AF86" t="str">
        <f ca="1"/>
        <v>Electronics</v>
      </c>
      <c r="AG86">
        <f ca="1"/>
        <v>2</v>
      </c>
      <c r="AH86">
        <f ca="1"/>
        <v>699.99</v>
      </c>
      <c r="AI86" t="str">
        <f ca="1"/>
        <v>Debit Card</v>
      </c>
      <c r="AJ86" t="str">
        <f ca="1"/>
        <v>Central</v>
      </c>
      <c r="AK86" t="str">
        <f ca="1"/>
        <v>Premium</v>
      </c>
      <c r="AL86">
        <f ca="1"/>
        <v>44870</v>
      </c>
      <c r="AM86">
        <f ca="1"/>
        <v>1399.98</v>
      </c>
      <c r="AN86" t="str">
        <f ca="1"/>
        <v>Sep</v>
      </c>
      <c r="AO86">
        <f ca="1"/>
        <v>46078</v>
      </c>
      <c r="AP86">
        <f ca="1"/>
        <v>46078.801391898145</v>
      </c>
      <c r="AQ86">
        <f ca="1"/>
        <v>3</v>
      </c>
      <c r="AR86">
        <f ca="1"/>
        <v>45565</v>
      </c>
      <c r="AS86">
        <f ca="1"/>
        <v>6989.7699999999986</v>
      </c>
      <c r="AT86" t="str">
        <f ca="1"/>
        <v>Normal</v>
      </c>
      <c r="AU86">
        <f ca="1"/>
        <v>31</v>
      </c>
      <c r="AV86" t="str">
        <f ca="1"/>
        <v>L.R</v>
      </c>
    </row>
    <row r="87" spans="1:48" ht="15.75" customHeight="1" x14ac:dyDescent="0.3">
      <c r="A87" s="11" t="s">
        <v>216</v>
      </c>
      <c r="B87" s="15">
        <v>45513</v>
      </c>
      <c r="C87" s="11" t="s">
        <v>91</v>
      </c>
      <c r="D87" s="11" t="s">
        <v>92</v>
      </c>
      <c r="E87" s="11" t="s">
        <v>119</v>
      </c>
      <c r="F87" s="11" t="s">
        <v>120</v>
      </c>
      <c r="G87" s="11" t="s">
        <v>21</v>
      </c>
      <c r="H87" s="11">
        <v>1</v>
      </c>
      <c r="I87" s="11">
        <v>89.99</v>
      </c>
      <c r="J87" s="11" t="s">
        <v>28</v>
      </c>
      <c r="K87" s="11" t="s">
        <v>42</v>
      </c>
      <c r="L87" s="11" t="s">
        <v>38</v>
      </c>
      <c r="M87" s="14">
        <v>45393</v>
      </c>
      <c r="N87" s="11">
        <v>89.99</v>
      </c>
      <c r="O87" s="11" t="str">
        <f t="shared" si="9"/>
        <v>Aug</v>
      </c>
      <c r="P87" s="15">
        <f t="shared" ca="1" si="10"/>
        <v>46078</v>
      </c>
      <c r="Q87" s="18">
        <f t="shared" ca="1" si="11"/>
        <v>46078.801391898145</v>
      </c>
      <c r="R87" s="11">
        <f t="shared" ca="1" si="12"/>
        <v>1</v>
      </c>
      <c r="S87" s="15">
        <f t="shared" si="13"/>
        <v>45535</v>
      </c>
      <c r="T87" s="11">
        <f t="shared" si="14"/>
        <v>1909.93</v>
      </c>
      <c r="U87" s="11" t="str">
        <f t="shared" si="15"/>
        <v>Normal</v>
      </c>
      <c r="V87" s="11">
        <f t="shared" si="16"/>
        <v>34</v>
      </c>
      <c r="W87" s="6" t="str">
        <f t="shared" si="17"/>
        <v>M.G</v>
      </c>
      <c r="Z87" t="str">
        <f ca="1"/>
        <v>TRX0100</v>
      </c>
      <c r="AA87">
        <f ca="1"/>
        <v>45541</v>
      </c>
      <c r="AB87" t="str">
        <f ca="1"/>
        <v>CUST031</v>
      </c>
      <c r="AC87" t="str">
        <f ca="1"/>
        <v>Steven Turner</v>
      </c>
      <c r="AD87" t="str">
        <f ca="1"/>
        <v>P005</v>
      </c>
      <c r="AE87" t="str">
        <f ca="1"/>
        <v>Blender</v>
      </c>
      <c r="AF87" t="str">
        <f ca="1"/>
        <v>Appliances</v>
      </c>
      <c r="AG87">
        <f ca="1"/>
        <v>3</v>
      </c>
      <c r="AH87">
        <f ca="1"/>
        <v>59.99</v>
      </c>
      <c r="AI87" t="str">
        <f ca="1"/>
        <v>Credit Card</v>
      </c>
      <c r="AJ87" t="str">
        <f ca="1"/>
        <v>Central</v>
      </c>
      <c r="AK87" t="str">
        <f ca="1"/>
        <v>Premium</v>
      </c>
      <c r="AL87">
        <f ca="1"/>
        <v>44717</v>
      </c>
      <c r="AM87">
        <f ca="1"/>
        <v>179.97</v>
      </c>
      <c r="AN87" t="str">
        <f ca="1"/>
        <v>Sep</v>
      </c>
      <c r="AO87">
        <f ca="1"/>
        <v>46078</v>
      </c>
      <c r="AP87">
        <f ca="1"/>
        <v>46078.801391898145</v>
      </c>
      <c r="AQ87">
        <f ca="1"/>
        <v>3</v>
      </c>
      <c r="AR87">
        <f ca="1"/>
        <v>45565</v>
      </c>
      <c r="AS87">
        <f ca="1"/>
        <v>2649.83</v>
      </c>
      <c r="AT87" t="str">
        <f ca="1"/>
        <v>Normal</v>
      </c>
      <c r="AU87">
        <f ca="1"/>
        <v>29</v>
      </c>
      <c r="AV87" t="str">
        <f ca="1"/>
        <v>S.T</v>
      </c>
    </row>
    <row r="88" spans="1:48" ht="15.75" customHeight="1" x14ac:dyDescent="0.3">
      <c r="A88" s="11" t="s">
        <v>217</v>
      </c>
      <c r="B88" s="15">
        <v>45515</v>
      </c>
      <c r="C88" s="11" t="s">
        <v>88</v>
      </c>
      <c r="D88" s="11" t="s">
        <v>89</v>
      </c>
      <c r="E88" s="11" t="s">
        <v>107</v>
      </c>
      <c r="F88" s="11" t="s">
        <v>108</v>
      </c>
      <c r="G88" s="11" t="s">
        <v>48</v>
      </c>
      <c r="H88" s="11">
        <v>5</v>
      </c>
      <c r="I88" s="11">
        <v>299.99</v>
      </c>
      <c r="J88" s="11" t="s">
        <v>28</v>
      </c>
      <c r="K88" s="11" t="s">
        <v>42</v>
      </c>
      <c r="L88" s="11" t="s">
        <v>24</v>
      </c>
      <c r="M88" s="14">
        <v>44965</v>
      </c>
      <c r="N88" s="11">
        <v>1499.95</v>
      </c>
      <c r="O88" s="11" t="str">
        <f t="shared" si="9"/>
        <v>Aug</v>
      </c>
      <c r="P88" s="15">
        <f t="shared" ca="1" si="10"/>
        <v>46078</v>
      </c>
      <c r="Q88" s="18">
        <f t="shared" ca="1" si="11"/>
        <v>46078.801391898145</v>
      </c>
      <c r="R88" s="11">
        <f t="shared" ca="1" si="12"/>
        <v>3</v>
      </c>
      <c r="S88" s="15">
        <f t="shared" si="13"/>
        <v>45535</v>
      </c>
      <c r="T88" s="11">
        <f t="shared" si="14"/>
        <v>15659.65</v>
      </c>
      <c r="U88" s="11" t="str">
        <f t="shared" si="15"/>
        <v>High</v>
      </c>
      <c r="V88" s="11">
        <f t="shared" si="16"/>
        <v>26</v>
      </c>
      <c r="W88" s="6" t="str">
        <f t="shared" si="17"/>
        <v>M.C</v>
      </c>
      <c r="Z88" t="str">
        <f ca="1"/>
        <v>TRX0108</v>
      </c>
      <c r="AA88">
        <f ca="1"/>
        <v>45547</v>
      </c>
      <c r="AB88" t="str">
        <f ca="1"/>
        <v>CUST024</v>
      </c>
      <c r="AC88" t="str">
        <f ca="1"/>
        <v>Dorothy Nelson</v>
      </c>
      <c r="AD88" t="str">
        <f ca="1"/>
        <v>P007</v>
      </c>
      <c r="AE88" t="str">
        <f ca="1"/>
        <v>Desk</v>
      </c>
      <c r="AF88" t="str">
        <f ca="1"/>
        <v>Furniture</v>
      </c>
      <c r="AG88">
        <f ca="1"/>
        <v>3</v>
      </c>
      <c r="AH88">
        <f ca="1"/>
        <v>299.99</v>
      </c>
      <c r="AI88" t="str">
        <f ca="1"/>
        <v>Credit Card</v>
      </c>
      <c r="AJ88" t="str">
        <f ca="1"/>
        <v>Central</v>
      </c>
      <c r="AK88" t="str">
        <f ca="1"/>
        <v>Premium</v>
      </c>
      <c r="AL88">
        <f ca="1"/>
        <v>44494</v>
      </c>
      <c r="AM88">
        <f ca="1"/>
        <v>899.97</v>
      </c>
      <c r="AN88" t="str">
        <f ca="1"/>
        <v>Sep</v>
      </c>
      <c r="AO88">
        <f ca="1"/>
        <v>46078</v>
      </c>
      <c r="AP88">
        <f ca="1"/>
        <v>46078.801391898145</v>
      </c>
      <c r="AQ88">
        <f ca="1"/>
        <v>4</v>
      </c>
      <c r="AR88">
        <f ca="1"/>
        <v>45565</v>
      </c>
      <c r="AS88">
        <f ca="1"/>
        <v>8269.7900000000009</v>
      </c>
      <c r="AT88" t="str">
        <f ca="1"/>
        <v>Normal</v>
      </c>
      <c r="AU88">
        <f ca="1"/>
        <v>26</v>
      </c>
      <c r="AV88" t="str">
        <f ca="1"/>
        <v>D.N</v>
      </c>
    </row>
    <row r="89" spans="1:48" ht="15.75" customHeight="1" x14ac:dyDescent="0.3">
      <c r="A89" s="11" t="s">
        <v>218</v>
      </c>
      <c r="B89" s="15">
        <v>45517</v>
      </c>
      <c r="C89" s="11" t="s">
        <v>184</v>
      </c>
      <c r="D89" s="11" t="s">
        <v>185</v>
      </c>
      <c r="E89" s="11" t="s">
        <v>54</v>
      </c>
      <c r="F89" s="11" t="s">
        <v>55</v>
      </c>
      <c r="G89" s="11" t="s">
        <v>21</v>
      </c>
      <c r="H89" s="11">
        <v>4</v>
      </c>
      <c r="I89" s="11">
        <v>149.99</v>
      </c>
      <c r="J89" s="11" t="s">
        <v>59</v>
      </c>
      <c r="K89" s="11" t="s">
        <v>37</v>
      </c>
      <c r="L89" s="11" t="s">
        <v>29</v>
      </c>
      <c r="M89" s="14">
        <v>44820</v>
      </c>
      <c r="N89" s="11">
        <v>599.96</v>
      </c>
      <c r="O89" s="11" t="str">
        <f t="shared" si="9"/>
        <v>Aug</v>
      </c>
      <c r="P89" s="15">
        <f t="shared" ca="1" si="10"/>
        <v>46078</v>
      </c>
      <c r="Q89" s="18">
        <f t="shared" ca="1" si="11"/>
        <v>46078.801391898145</v>
      </c>
      <c r="R89" s="11">
        <f t="shared" ca="1" si="12"/>
        <v>3</v>
      </c>
      <c r="S89" s="15">
        <f t="shared" si="13"/>
        <v>45535</v>
      </c>
      <c r="T89" s="11">
        <f t="shared" si="14"/>
        <v>1809.84</v>
      </c>
      <c r="U89" s="11" t="str">
        <f t="shared" si="15"/>
        <v>Normal</v>
      </c>
      <c r="V89" s="11">
        <f t="shared" si="16"/>
        <v>16</v>
      </c>
      <c r="W89" s="6" t="str">
        <f t="shared" si="17"/>
        <v>D.M</v>
      </c>
      <c r="Z89" t="str">
        <f ca="1"/>
        <v>TRX0181</v>
      </c>
      <c r="AA89">
        <f ca="1"/>
        <v>45563</v>
      </c>
      <c r="AB89" t="str">
        <f ca="1"/>
        <v>CUST012</v>
      </c>
      <c r="AC89" t="str">
        <f ca="1"/>
        <v>Patricia Moore</v>
      </c>
      <c r="AD89" t="str">
        <f ca="1"/>
        <v>P007</v>
      </c>
      <c r="AE89" t="str">
        <f ca="1"/>
        <v>Desk</v>
      </c>
      <c r="AF89" t="str">
        <f ca="1"/>
        <v>Furniture</v>
      </c>
      <c r="AG89">
        <f ca="1"/>
        <v>2</v>
      </c>
      <c r="AH89">
        <f ca="1"/>
        <v>299.99</v>
      </c>
      <c r="AI89" t="str">
        <f ca="1"/>
        <v>Debit Card</v>
      </c>
      <c r="AJ89" t="str">
        <f ca="1"/>
        <v>Central</v>
      </c>
      <c r="AK89" t="str">
        <f ca="1"/>
        <v>Basic</v>
      </c>
      <c r="AL89">
        <f ca="1"/>
        <v>44569</v>
      </c>
      <c r="AM89">
        <f ca="1"/>
        <v>599.98</v>
      </c>
      <c r="AN89" t="str">
        <f ca="1"/>
        <v>Sep</v>
      </c>
      <c r="AO89">
        <f ca="1"/>
        <v>46078</v>
      </c>
      <c r="AP89">
        <f ca="1"/>
        <v>46078.801391898145</v>
      </c>
      <c r="AQ89">
        <f ca="1"/>
        <v>4</v>
      </c>
      <c r="AR89">
        <f ca="1"/>
        <v>45565</v>
      </c>
      <c r="AS89">
        <f ca="1"/>
        <v>9799.73</v>
      </c>
      <c r="AT89" t="str">
        <f ca="1"/>
        <v>Normal</v>
      </c>
      <c r="AU89">
        <f ca="1"/>
        <v>26</v>
      </c>
      <c r="AV89" t="str">
        <f ca="1"/>
        <v>P.M</v>
      </c>
    </row>
    <row r="90" spans="1:48" ht="15.75" customHeight="1" x14ac:dyDescent="0.3">
      <c r="A90" s="11" t="s">
        <v>219</v>
      </c>
      <c r="B90" s="15">
        <v>45517</v>
      </c>
      <c r="C90" s="11" t="s">
        <v>187</v>
      </c>
      <c r="D90" s="11" t="s">
        <v>188</v>
      </c>
      <c r="E90" s="11" t="s">
        <v>19</v>
      </c>
      <c r="F90" s="11" t="s">
        <v>20</v>
      </c>
      <c r="G90" s="11" t="s">
        <v>21</v>
      </c>
      <c r="H90" s="11">
        <v>5</v>
      </c>
      <c r="I90" s="11">
        <v>249.99</v>
      </c>
      <c r="J90" s="11" t="s">
        <v>36</v>
      </c>
      <c r="K90" s="11" t="s">
        <v>65</v>
      </c>
      <c r="L90" s="11" t="s">
        <v>29</v>
      </c>
      <c r="M90" s="14">
        <v>44782</v>
      </c>
      <c r="N90" s="11">
        <v>1249.95</v>
      </c>
      <c r="O90" s="11" t="str">
        <f t="shared" si="9"/>
        <v>Aug</v>
      </c>
      <c r="P90" s="15">
        <f t="shared" ca="1" si="10"/>
        <v>46078</v>
      </c>
      <c r="Q90" s="18">
        <f t="shared" ca="1" si="11"/>
        <v>46078.801391898145</v>
      </c>
      <c r="R90" s="11">
        <f t="shared" ca="1" si="12"/>
        <v>3</v>
      </c>
      <c r="S90" s="15">
        <f t="shared" si="13"/>
        <v>45535</v>
      </c>
      <c r="T90" s="11">
        <f t="shared" si="14"/>
        <v>2099.88</v>
      </c>
      <c r="U90" s="11" t="str">
        <f t="shared" si="15"/>
        <v>Normal</v>
      </c>
      <c r="V90" s="11">
        <f t="shared" si="16"/>
        <v>26</v>
      </c>
      <c r="W90" s="6" t="str">
        <f t="shared" si="17"/>
        <v>M.W</v>
      </c>
      <c r="Z90" t="str">
        <f ca="1"/>
        <v>TRX0174</v>
      </c>
      <c r="AA90">
        <f ca="1"/>
        <v>45566</v>
      </c>
      <c r="AB90" t="str">
        <f ca="1"/>
        <v>CUST003</v>
      </c>
      <c r="AC90" t="str">
        <f ca="1"/>
        <v>Michael Brown</v>
      </c>
      <c r="AD90" t="str">
        <f ca="1"/>
        <v>P007</v>
      </c>
      <c r="AE90" t="str">
        <f ca="1"/>
        <v>Desk</v>
      </c>
      <c r="AF90" t="str">
        <f ca="1"/>
        <v>Furniture</v>
      </c>
      <c r="AG90">
        <f ca="1"/>
        <v>4</v>
      </c>
      <c r="AH90">
        <f ca="1"/>
        <v>299.99</v>
      </c>
      <c r="AI90" t="str">
        <f ca="1"/>
        <v>Cash</v>
      </c>
      <c r="AJ90" t="str">
        <f ca="1"/>
        <v>Central</v>
      </c>
      <c r="AK90" t="str">
        <f ca="1"/>
        <v>Premium</v>
      </c>
      <c r="AL90">
        <f ca="1"/>
        <v>44460</v>
      </c>
      <c r="AM90">
        <f ca="1"/>
        <v>1199.96</v>
      </c>
      <c r="AN90" t="str">
        <f ca="1"/>
        <v>Oct</v>
      </c>
      <c r="AO90">
        <f ca="1"/>
        <v>46078</v>
      </c>
      <c r="AP90">
        <f ca="1"/>
        <v>46078.801391898145</v>
      </c>
      <c r="AQ90">
        <f ca="1"/>
        <v>4</v>
      </c>
      <c r="AR90">
        <f ca="1"/>
        <v>45596</v>
      </c>
      <c r="AS90">
        <f ca="1"/>
        <v>6169.7400000000007</v>
      </c>
      <c r="AT90" t="str">
        <f ca="1"/>
        <v>Normal</v>
      </c>
      <c r="AU90">
        <f ca="1"/>
        <v>26</v>
      </c>
      <c r="AV90" t="str">
        <f ca="1"/>
        <v>M.B</v>
      </c>
    </row>
    <row r="91" spans="1:48" ht="15.75" customHeight="1" x14ac:dyDescent="0.3">
      <c r="A91" s="11" t="s">
        <v>220</v>
      </c>
      <c r="B91" s="15">
        <v>45517</v>
      </c>
      <c r="C91" s="11" t="s">
        <v>67</v>
      </c>
      <c r="D91" s="11" t="s">
        <v>68</v>
      </c>
      <c r="E91" s="11" t="s">
        <v>19</v>
      </c>
      <c r="F91" s="11" t="s">
        <v>20</v>
      </c>
      <c r="G91" s="11" t="s">
        <v>21</v>
      </c>
      <c r="H91" s="11">
        <v>3</v>
      </c>
      <c r="I91" s="11">
        <v>249.99</v>
      </c>
      <c r="J91" s="11" t="s">
        <v>36</v>
      </c>
      <c r="K91" s="11" t="s">
        <v>42</v>
      </c>
      <c r="L91" s="11" t="s">
        <v>29</v>
      </c>
      <c r="M91" s="14">
        <v>44465</v>
      </c>
      <c r="N91" s="11">
        <v>749.97</v>
      </c>
      <c r="O91" s="11" t="str">
        <f t="shared" si="9"/>
        <v>Aug</v>
      </c>
      <c r="P91" s="15">
        <f t="shared" ca="1" si="10"/>
        <v>46078</v>
      </c>
      <c r="Q91" s="18">
        <f t="shared" ca="1" si="11"/>
        <v>46078.801391898145</v>
      </c>
      <c r="R91" s="11">
        <f t="shared" ca="1" si="12"/>
        <v>4</v>
      </c>
      <c r="S91" s="15">
        <f t="shared" si="13"/>
        <v>45535</v>
      </c>
      <c r="T91" s="11">
        <f t="shared" si="14"/>
        <v>8009.7699999999995</v>
      </c>
      <c r="U91" s="11" t="str">
        <f t="shared" si="15"/>
        <v>Normal</v>
      </c>
      <c r="V91" s="11">
        <f t="shared" si="16"/>
        <v>26</v>
      </c>
      <c r="W91" s="6" t="str">
        <f t="shared" si="17"/>
        <v>K.H</v>
      </c>
      <c r="Z91" t="str">
        <f ca="1"/>
        <v>TRX0146</v>
      </c>
      <c r="AA91">
        <f ca="1"/>
        <v>45572</v>
      </c>
      <c r="AB91" t="str">
        <f ca="1"/>
        <v>CUST010</v>
      </c>
      <c r="AC91" t="str">
        <f ca="1"/>
        <v>Maria Garcia</v>
      </c>
      <c r="AD91" t="str">
        <f ca="1"/>
        <v>P005</v>
      </c>
      <c r="AE91" t="str">
        <f ca="1"/>
        <v>Blender</v>
      </c>
      <c r="AF91" t="str">
        <f ca="1"/>
        <v>Appliances</v>
      </c>
      <c r="AG91">
        <f ca="1"/>
        <v>2</v>
      </c>
      <c r="AH91">
        <f ca="1"/>
        <v>59.99</v>
      </c>
      <c r="AI91" t="str">
        <f ca="1"/>
        <v>Credit Card</v>
      </c>
      <c r="AJ91" t="str">
        <f ca="1"/>
        <v>Central</v>
      </c>
      <c r="AK91" t="str">
        <f ca="1"/>
        <v>Basic</v>
      </c>
      <c r="AL91">
        <f ca="1"/>
        <v>44579</v>
      </c>
      <c r="AM91">
        <f ca="1"/>
        <v>119.98</v>
      </c>
      <c r="AN91" t="str">
        <f ca="1"/>
        <v>Oct</v>
      </c>
      <c r="AO91">
        <f ca="1"/>
        <v>46078</v>
      </c>
      <c r="AP91">
        <f ca="1"/>
        <v>46078.801391898145</v>
      </c>
      <c r="AQ91">
        <f ca="1"/>
        <v>4</v>
      </c>
      <c r="AR91">
        <f ca="1"/>
        <v>45596</v>
      </c>
      <c r="AS91">
        <f ca="1"/>
        <v>1909.93</v>
      </c>
      <c r="AT91" t="str">
        <f ca="1"/>
        <v>Normal</v>
      </c>
      <c r="AU91">
        <f ca="1"/>
        <v>29</v>
      </c>
      <c r="AV91" t="str">
        <f ca="1"/>
        <v>M.G</v>
      </c>
    </row>
    <row r="92" spans="1:48" ht="15.75" customHeight="1" x14ac:dyDescent="0.3">
      <c r="A92" s="11" t="s">
        <v>221</v>
      </c>
      <c r="B92" s="15">
        <v>45517</v>
      </c>
      <c r="C92" s="11" t="s">
        <v>40</v>
      </c>
      <c r="D92" s="11" t="s">
        <v>41</v>
      </c>
      <c r="E92" s="11" t="s">
        <v>128</v>
      </c>
      <c r="F92" s="11" t="s">
        <v>129</v>
      </c>
      <c r="G92" s="11" t="s">
        <v>48</v>
      </c>
      <c r="H92" s="11">
        <v>4</v>
      </c>
      <c r="I92" s="11">
        <v>199.99</v>
      </c>
      <c r="J92" s="11" t="s">
        <v>22</v>
      </c>
      <c r="K92" s="11" t="s">
        <v>42</v>
      </c>
      <c r="L92" s="11" t="s">
        <v>38</v>
      </c>
      <c r="M92" s="14">
        <v>44458</v>
      </c>
      <c r="N92" s="11">
        <v>799.96</v>
      </c>
      <c r="O92" s="11" t="str">
        <f t="shared" si="9"/>
        <v>Aug</v>
      </c>
      <c r="P92" s="15">
        <f t="shared" ca="1" si="10"/>
        <v>46078</v>
      </c>
      <c r="Q92" s="18">
        <f t="shared" ca="1" si="11"/>
        <v>46078.801391898145</v>
      </c>
      <c r="R92" s="11">
        <f t="shared" ca="1" si="12"/>
        <v>4</v>
      </c>
      <c r="S92" s="15">
        <f t="shared" si="13"/>
        <v>45535</v>
      </c>
      <c r="T92" s="11">
        <f t="shared" si="14"/>
        <v>4309.8099999999995</v>
      </c>
      <c r="U92" s="11" t="str">
        <f t="shared" si="15"/>
        <v>Normal</v>
      </c>
      <c r="V92" s="11">
        <f t="shared" si="16"/>
        <v>15</v>
      </c>
      <c r="W92" s="6" t="str">
        <f t="shared" si="17"/>
        <v>K.B</v>
      </c>
      <c r="Z92" t="str">
        <f ca="1"/>
        <v>TRX0085</v>
      </c>
      <c r="AA92">
        <f ca="1"/>
        <v>45576</v>
      </c>
      <c r="AB92" t="str">
        <f ca="1"/>
        <v>CUST019</v>
      </c>
      <c r="AC92" t="str">
        <f ca="1"/>
        <v>Daniel King</v>
      </c>
      <c r="AD92" t="str">
        <f ca="1"/>
        <v>P007</v>
      </c>
      <c r="AE92" t="str">
        <f ca="1"/>
        <v>Desk</v>
      </c>
      <c r="AF92" t="str">
        <f ca="1"/>
        <v>Furniture</v>
      </c>
      <c r="AG92">
        <f ca="1"/>
        <v>3</v>
      </c>
      <c r="AH92">
        <f ca="1"/>
        <v>299.99</v>
      </c>
      <c r="AI92" t="str">
        <f ca="1"/>
        <v>Credit Card</v>
      </c>
      <c r="AJ92" t="str">
        <f ca="1"/>
        <v>Central</v>
      </c>
      <c r="AK92" t="str">
        <f ca="1"/>
        <v>Standard</v>
      </c>
      <c r="AL92">
        <f ca="1"/>
        <v>45174</v>
      </c>
      <c r="AM92">
        <f ca="1"/>
        <v>899.97</v>
      </c>
      <c r="AN92" t="str">
        <f ca="1"/>
        <v>Oct</v>
      </c>
      <c r="AO92">
        <f ca="1"/>
        <v>46078</v>
      </c>
      <c r="AP92">
        <f ca="1"/>
        <v>46078.801391898145</v>
      </c>
      <c r="AQ92">
        <f ca="1"/>
        <v>2</v>
      </c>
      <c r="AR92">
        <f ca="1"/>
        <v>45596</v>
      </c>
      <c r="AS92">
        <f ca="1"/>
        <v>7309.7999999999993</v>
      </c>
      <c r="AT92" t="str">
        <f ca="1"/>
        <v>Normal</v>
      </c>
      <c r="AU92">
        <f ca="1"/>
        <v>26</v>
      </c>
      <c r="AV92" t="str">
        <f ca="1"/>
        <v>D.K</v>
      </c>
    </row>
    <row r="93" spans="1:48" ht="15.75" customHeight="1" x14ac:dyDescent="0.3">
      <c r="A93" s="11" t="s">
        <v>222</v>
      </c>
      <c r="B93" s="15">
        <v>45519</v>
      </c>
      <c r="C93" s="11" t="s">
        <v>160</v>
      </c>
      <c r="D93" s="11" t="s">
        <v>161</v>
      </c>
      <c r="E93" s="11" t="s">
        <v>128</v>
      </c>
      <c r="F93" s="11" t="s">
        <v>129</v>
      </c>
      <c r="G93" s="11" t="s">
        <v>48</v>
      </c>
      <c r="H93" s="11">
        <v>5</v>
      </c>
      <c r="I93" s="11">
        <v>199.99</v>
      </c>
      <c r="J93" s="11" t="s">
        <v>22</v>
      </c>
      <c r="K93" s="11" t="s">
        <v>42</v>
      </c>
      <c r="L93" s="11" t="s">
        <v>29</v>
      </c>
      <c r="M93" s="14">
        <v>44991</v>
      </c>
      <c r="N93" s="11">
        <v>999.95</v>
      </c>
      <c r="O93" s="11" t="str">
        <f t="shared" si="9"/>
        <v>Aug</v>
      </c>
      <c r="P93" s="15">
        <f t="shared" ca="1" si="10"/>
        <v>46078</v>
      </c>
      <c r="Q93" s="18">
        <f t="shared" ca="1" si="11"/>
        <v>46078.801391898145</v>
      </c>
      <c r="R93" s="11">
        <f t="shared" ca="1" si="12"/>
        <v>2</v>
      </c>
      <c r="S93" s="15">
        <f t="shared" si="13"/>
        <v>45535</v>
      </c>
      <c r="T93" s="11">
        <f t="shared" si="14"/>
        <v>5649.84</v>
      </c>
      <c r="U93" s="11" t="str">
        <f t="shared" si="15"/>
        <v>Normal</v>
      </c>
      <c r="V93" s="11">
        <f t="shared" si="16"/>
        <v>15</v>
      </c>
      <c r="W93" s="6" t="str">
        <f t="shared" si="17"/>
        <v>B.C</v>
      </c>
      <c r="Z93" t="str">
        <f ca="1"/>
        <v>TRX0034</v>
      </c>
      <c r="AA93">
        <f ca="1"/>
        <v>45581</v>
      </c>
      <c r="AB93" t="str">
        <f ca="1"/>
        <v>CUST049</v>
      </c>
      <c r="AC93" t="str">
        <f ca="1"/>
        <v>Raymond Ross</v>
      </c>
      <c r="AD93" t="str">
        <f ca="1"/>
        <v>P002</v>
      </c>
      <c r="AE93" t="str">
        <f ca="1"/>
        <v>Smartphone</v>
      </c>
      <c r="AF93" t="str">
        <f ca="1"/>
        <v>Electronics</v>
      </c>
      <c r="AG93">
        <f ca="1"/>
        <v>4</v>
      </c>
      <c r="AH93">
        <f ca="1"/>
        <v>699.99</v>
      </c>
      <c r="AI93" t="str">
        <f ca="1"/>
        <v>Credit Card</v>
      </c>
      <c r="AJ93" t="str">
        <f ca="1"/>
        <v>Central</v>
      </c>
      <c r="AK93" t="str">
        <f ca="1"/>
        <v>Basic</v>
      </c>
      <c r="AL93">
        <f ca="1"/>
        <v>45385</v>
      </c>
      <c r="AM93">
        <f ca="1"/>
        <v>2799.96</v>
      </c>
      <c r="AN93" t="str">
        <f ca="1"/>
        <v>Oct</v>
      </c>
      <c r="AO93">
        <f ca="1"/>
        <v>46078</v>
      </c>
      <c r="AP93">
        <f ca="1"/>
        <v>46078.801391898145</v>
      </c>
      <c r="AQ93">
        <f ca="1"/>
        <v>1</v>
      </c>
      <c r="AR93">
        <f ca="1"/>
        <v>45596</v>
      </c>
      <c r="AS93">
        <f ca="1"/>
        <v>3669.8500000000004</v>
      </c>
      <c r="AT93" t="str">
        <f ca="1"/>
        <v>Normal</v>
      </c>
      <c r="AU93">
        <f ca="1"/>
        <v>31</v>
      </c>
      <c r="AV93" t="str">
        <f ca="1"/>
        <v>R.R</v>
      </c>
    </row>
    <row r="94" spans="1:48" ht="15.75" customHeight="1" x14ac:dyDescent="0.3">
      <c r="A94" s="11" t="s">
        <v>223</v>
      </c>
      <c r="B94" s="15">
        <v>45522</v>
      </c>
      <c r="C94" s="11" t="s">
        <v>88</v>
      </c>
      <c r="D94" s="11" t="s">
        <v>89</v>
      </c>
      <c r="E94" s="11" t="s">
        <v>119</v>
      </c>
      <c r="F94" s="11" t="s">
        <v>120</v>
      </c>
      <c r="G94" s="11" t="s">
        <v>21</v>
      </c>
      <c r="H94" s="11">
        <v>2</v>
      </c>
      <c r="I94" s="11">
        <v>89.99</v>
      </c>
      <c r="J94" s="11" t="s">
        <v>22</v>
      </c>
      <c r="K94" s="11" t="s">
        <v>65</v>
      </c>
      <c r="L94" s="11" t="s">
        <v>29</v>
      </c>
      <c r="M94" s="14">
        <v>44972</v>
      </c>
      <c r="N94" s="11">
        <v>179.98</v>
      </c>
      <c r="O94" s="11" t="str">
        <f t="shared" si="9"/>
        <v>Aug</v>
      </c>
      <c r="P94" s="15">
        <f t="shared" ca="1" si="10"/>
        <v>46078</v>
      </c>
      <c r="Q94" s="18">
        <f t="shared" ca="1" si="11"/>
        <v>46078.801391898145</v>
      </c>
      <c r="R94" s="11">
        <f t="shared" ca="1" si="12"/>
        <v>3</v>
      </c>
      <c r="S94" s="15">
        <f t="shared" si="13"/>
        <v>45535</v>
      </c>
      <c r="T94" s="11">
        <f t="shared" si="14"/>
        <v>15659.65</v>
      </c>
      <c r="U94" s="11" t="str">
        <f t="shared" si="15"/>
        <v>High</v>
      </c>
      <c r="V94" s="11">
        <f t="shared" si="16"/>
        <v>34</v>
      </c>
      <c r="W94" s="6" t="str">
        <f t="shared" si="17"/>
        <v>M.C</v>
      </c>
      <c r="Z94" t="str">
        <f ca="1"/>
        <v>TRX0079</v>
      </c>
      <c r="AA94">
        <f ca="1"/>
        <v>45586</v>
      </c>
      <c r="AB94" t="str">
        <f ca="1"/>
        <v>CUST039</v>
      </c>
      <c r="AC94" t="str">
        <f ca="1"/>
        <v>Lawrence Reed</v>
      </c>
      <c r="AD94" t="str">
        <f ca="1"/>
        <v>P010</v>
      </c>
      <c r="AE94" t="str">
        <f ca="1"/>
        <v>Keyboard</v>
      </c>
      <c r="AF94" t="str">
        <f ca="1"/>
        <v>Electronics</v>
      </c>
      <c r="AG94">
        <f ca="1"/>
        <v>3</v>
      </c>
      <c r="AH94">
        <f ca="1"/>
        <v>89.99</v>
      </c>
      <c r="AI94" t="str">
        <f ca="1"/>
        <v>PayPal</v>
      </c>
      <c r="AJ94" t="str">
        <f ca="1"/>
        <v>Central</v>
      </c>
      <c r="AK94" t="str">
        <f ca="1"/>
        <v>Basic</v>
      </c>
      <c r="AL94">
        <f ca="1"/>
        <v>44551</v>
      </c>
      <c r="AM94">
        <f ca="1"/>
        <v>269.97000000000003</v>
      </c>
      <c r="AN94" t="str">
        <f ca="1"/>
        <v>Oct</v>
      </c>
      <c r="AO94">
        <f ca="1"/>
        <v>46078</v>
      </c>
      <c r="AP94">
        <f ca="1"/>
        <v>46078.801391898145</v>
      </c>
      <c r="AQ94">
        <f ca="1"/>
        <v>4</v>
      </c>
      <c r="AR94">
        <f ca="1"/>
        <v>45596</v>
      </c>
      <c r="AS94">
        <f ca="1"/>
        <v>6989.7699999999986</v>
      </c>
      <c r="AT94" t="str">
        <f ca="1"/>
        <v>Normal</v>
      </c>
      <c r="AU94">
        <f ca="1"/>
        <v>34</v>
      </c>
      <c r="AV94" t="str">
        <f ca="1"/>
        <v>L.R</v>
      </c>
    </row>
    <row r="95" spans="1:48" ht="15.75" customHeight="1" x14ac:dyDescent="0.3">
      <c r="A95" s="11" t="s">
        <v>224</v>
      </c>
      <c r="B95" s="15">
        <v>45523</v>
      </c>
      <c r="C95" s="11" t="s">
        <v>198</v>
      </c>
      <c r="D95" s="11" t="s">
        <v>199</v>
      </c>
      <c r="E95" s="11" t="s">
        <v>63</v>
      </c>
      <c r="F95" s="11" t="s">
        <v>64</v>
      </c>
      <c r="G95" s="11" t="s">
        <v>21</v>
      </c>
      <c r="H95" s="11">
        <v>5</v>
      </c>
      <c r="I95" s="11">
        <v>899.99</v>
      </c>
      <c r="J95" s="11" t="s">
        <v>59</v>
      </c>
      <c r="K95" s="11" t="s">
        <v>65</v>
      </c>
      <c r="L95" s="11" t="s">
        <v>24</v>
      </c>
      <c r="M95" s="14">
        <v>44526</v>
      </c>
      <c r="N95" s="11">
        <v>4499.95</v>
      </c>
      <c r="O95" s="11" t="str">
        <f t="shared" si="9"/>
        <v>Aug</v>
      </c>
      <c r="P95" s="15">
        <f t="shared" ca="1" si="10"/>
        <v>46078</v>
      </c>
      <c r="Q95" s="18">
        <f t="shared" ca="1" si="11"/>
        <v>46078.801391898145</v>
      </c>
      <c r="R95" s="11">
        <f t="shared" ca="1" si="12"/>
        <v>4</v>
      </c>
      <c r="S95" s="15">
        <f t="shared" si="13"/>
        <v>45535</v>
      </c>
      <c r="T95" s="11">
        <f t="shared" si="14"/>
        <v>6379.87</v>
      </c>
      <c r="U95" s="11" t="str">
        <f t="shared" si="15"/>
        <v>Normal</v>
      </c>
      <c r="V95" s="11">
        <f t="shared" si="16"/>
        <v>24</v>
      </c>
      <c r="W95" s="6" t="str">
        <f t="shared" si="17"/>
        <v>G.M</v>
      </c>
      <c r="Z95" t="str">
        <f ca="1"/>
        <v>TRX0095</v>
      </c>
      <c r="AA95">
        <f ca="1"/>
        <v>45588</v>
      </c>
      <c r="AB95" t="str">
        <f ca="1"/>
        <v>CUST046</v>
      </c>
      <c r="AC95" t="str">
        <f ca="1"/>
        <v>Kathleen Bennett</v>
      </c>
      <c r="AD95" t="str">
        <f ca="1"/>
        <v>P003</v>
      </c>
      <c r="AE95" t="str">
        <f ca="1"/>
        <v>Headphones</v>
      </c>
      <c r="AF95" t="str">
        <f ca="1"/>
        <v>Electronics</v>
      </c>
      <c r="AG95">
        <f ca="1"/>
        <v>2</v>
      </c>
      <c r="AH95">
        <f ca="1"/>
        <v>149.99</v>
      </c>
      <c r="AI95" t="str">
        <f ca="1"/>
        <v>PayPal</v>
      </c>
      <c r="AJ95" t="str">
        <f ca="1"/>
        <v>Central</v>
      </c>
      <c r="AK95" t="str">
        <f ca="1"/>
        <v>Basic</v>
      </c>
      <c r="AL95">
        <f ca="1"/>
        <v>44473</v>
      </c>
      <c r="AM95">
        <f ca="1"/>
        <v>299.98</v>
      </c>
      <c r="AN95" t="str">
        <f ca="1"/>
        <v>Oct</v>
      </c>
      <c r="AO95">
        <f ca="1"/>
        <v>46078</v>
      </c>
      <c r="AP95">
        <f ca="1"/>
        <v>46078.801391898145</v>
      </c>
      <c r="AQ95">
        <f ca="1"/>
        <v>4</v>
      </c>
      <c r="AR95">
        <f ca="1"/>
        <v>45596</v>
      </c>
      <c r="AS95">
        <f ca="1"/>
        <v>4309.8099999999995</v>
      </c>
      <c r="AT95" t="str">
        <f ca="1"/>
        <v>Normal</v>
      </c>
      <c r="AU95">
        <f ca="1"/>
        <v>16</v>
      </c>
      <c r="AV95" t="str">
        <f ca="1"/>
        <v>K.B</v>
      </c>
    </row>
    <row r="96" spans="1:48" ht="15.75" customHeight="1" x14ac:dyDescent="0.3">
      <c r="A96" s="11" t="s">
        <v>225</v>
      </c>
      <c r="B96" s="15">
        <v>45523</v>
      </c>
      <c r="C96" s="11" t="s">
        <v>110</v>
      </c>
      <c r="D96" s="11" t="s">
        <v>111</v>
      </c>
      <c r="E96" s="11" t="s">
        <v>54</v>
      </c>
      <c r="F96" s="11" t="s">
        <v>55</v>
      </c>
      <c r="G96" s="11" t="s">
        <v>21</v>
      </c>
      <c r="H96" s="11">
        <v>3</v>
      </c>
      <c r="I96" s="11">
        <v>149.99</v>
      </c>
      <c r="J96" s="11" t="s">
        <v>36</v>
      </c>
      <c r="K96" s="11" t="s">
        <v>65</v>
      </c>
      <c r="L96" s="11" t="s">
        <v>24</v>
      </c>
      <c r="M96" s="14">
        <v>44574</v>
      </c>
      <c r="N96" s="11">
        <v>449.97</v>
      </c>
      <c r="O96" s="11" t="str">
        <f t="shared" si="9"/>
        <v>Aug</v>
      </c>
      <c r="P96" s="15">
        <f t="shared" ca="1" si="10"/>
        <v>46078</v>
      </c>
      <c r="Q96" s="18">
        <f t="shared" ca="1" si="11"/>
        <v>46078.801391898145</v>
      </c>
      <c r="R96" s="11">
        <f t="shared" ca="1" si="12"/>
        <v>4</v>
      </c>
      <c r="S96" s="15">
        <f t="shared" si="13"/>
        <v>45535</v>
      </c>
      <c r="T96" s="11">
        <f t="shared" si="14"/>
        <v>4189.7700000000004</v>
      </c>
      <c r="U96" s="11" t="str">
        <f t="shared" si="15"/>
        <v>Normal</v>
      </c>
      <c r="V96" s="11">
        <f t="shared" si="16"/>
        <v>16</v>
      </c>
      <c r="W96" s="6" t="str">
        <f t="shared" si="17"/>
        <v>N.C</v>
      </c>
      <c r="Z96" t="str">
        <f ca="1"/>
        <v>TRX0009</v>
      </c>
      <c r="AA96">
        <f ca="1"/>
        <v>45588</v>
      </c>
      <c r="AB96" t="str">
        <f ca="1"/>
        <v>CUST004</v>
      </c>
      <c r="AC96" t="str">
        <f ca="1"/>
        <v>Sarah Davis</v>
      </c>
      <c r="AD96" t="str">
        <f ca="1"/>
        <v>P002</v>
      </c>
      <c r="AE96" t="str">
        <f ca="1"/>
        <v>Smartphone</v>
      </c>
      <c r="AF96" t="str">
        <f ca="1"/>
        <v>Electronics</v>
      </c>
      <c r="AG96">
        <f ca="1"/>
        <v>2</v>
      </c>
      <c r="AH96">
        <f ca="1"/>
        <v>699.99</v>
      </c>
      <c r="AI96" t="str">
        <f ca="1"/>
        <v>Cash</v>
      </c>
      <c r="AJ96" t="str">
        <f ca="1"/>
        <v>Central</v>
      </c>
      <c r="AK96" t="str">
        <f ca="1"/>
        <v>Basic</v>
      </c>
      <c r="AL96">
        <f ca="1"/>
        <v>44992</v>
      </c>
      <c r="AM96">
        <f ca="1"/>
        <v>1399.98</v>
      </c>
      <c r="AN96" t="str">
        <f ca="1"/>
        <v>Oct</v>
      </c>
      <c r="AO96">
        <f ca="1"/>
        <v>46078</v>
      </c>
      <c r="AP96">
        <f ca="1"/>
        <v>46078.801391898145</v>
      </c>
      <c r="AQ96">
        <f ca="1"/>
        <v>2</v>
      </c>
      <c r="AR96">
        <f ca="1"/>
        <v>45596</v>
      </c>
      <c r="AS96">
        <f ca="1"/>
        <v>5499.8099999999995</v>
      </c>
      <c r="AT96" t="str">
        <f ca="1"/>
        <v>Normal</v>
      </c>
      <c r="AU96">
        <f ca="1"/>
        <v>31</v>
      </c>
      <c r="AV96" t="str">
        <f ca="1"/>
        <v>S.D</v>
      </c>
    </row>
    <row r="97" spans="1:48" ht="15.75" customHeight="1" x14ac:dyDescent="0.3">
      <c r="A97" s="11" t="s">
        <v>226</v>
      </c>
      <c r="B97" s="15">
        <v>45526</v>
      </c>
      <c r="C97" s="11" t="s">
        <v>104</v>
      </c>
      <c r="D97" s="11" t="s">
        <v>105</v>
      </c>
      <c r="E97" s="11" t="s">
        <v>46</v>
      </c>
      <c r="F97" s="11" t="s">
        <v>47</v>
      </c>
      <c r="G97" s="11" t="s">
        <v>48</v>
      </c>
      <c r="H97" s="11">
        <v>5</v>
      </c>
      <c r="I97" s="11">
        <v>149.99</v>
      </c>
      <c r="J97" s="11" t="s">
        <v>28</v>
      </c>
      <c r="K97" s="11" t="s">
        <v>23</v>
      </c>
      <c r="L97" s="11" t="s">
        <v>24</v>
      </c>
      <c r="M97" s="14">
        <v>45310</v>
      </c>
      <c r="N97" s="11">
        <v>749.95</v>
      </c>
      <c r="O97" s="11" t="str">
        <f t="shared" si="9"/>
        <v>Aug</v>
      </c>
      <c r="P97" s="15">
        <f t="shared" ca="1" si="10"/>
        <v>46078</v>
      </c>
      <c r="Q97" s="18">
        <f t="shared" ca="1" si="11"/>
        <v>46078.801391898145</v>
      </c>
      <c r="R97" s="11">
        <f t="shared" ca="1" si="12"/>
        <v>2</v>
      </c>
      <c r="S97" s="15">
        <f t="shared" si="13"/>
        <v>45535</v>
      </c>
      <c r="T97" s="11">
        <f t="shared" si="14"/>
        <v>3769.8300000000004</v>
      </c>
      <c r="U97" s="11" t="str">
        <f t="shared" si="15"/>
        <v>Normal</v>
      </c>
      <c r="V97" s="11">
        <f t="shared" si="16"/>
        <v>35</v>
      </c>
      <c r="W97" s="6" t="str">
        <f t="shared" si="17"/>
        <v>C.P</v>
      </c>
      <c r="Z97" t="str">
        <f ca="1"/>
        <v>TRX0210</v>
      </c>
      <c r="AA97">
        <f ca="1"/>
        <v>45608</v>
      </c>
      <c r="AB97" t="str">
        <f ca="1"/>
        <v>CUST004</v>
      </c>
      <c r="AC97" t="str">
        <f ca="1"/>
        <v>Sarah Davis</v>
      </c>
      <c r="AD97" t="str">
        <f ca="1"/>
        <v>P008</v>
      </c>
      <c r="AE97" t="str">
        <f ca="1"/>
        <v>Bookshelf</v>
      </c>
      <c r="AF97" t="str">
        <f ca="1"/>
        <v>Furniture</v>
      </c>
      <c r="AG97">
        <f ca="1"/>
        <v>5</v>
      </c>
      <c r="AH97">
        <f ca="1"/>
        <v>149.99</v>
      </c>
      <c r="AI97" t="str">
        <f ca="1"/>
        <v>PayPal</v>
      </c>
      <c r="AJ97" t="str">
        <f ca="1"/>
        <v>Central</v>
      </c>
      <c r="AK97" t="str">
        <f ca="1"/>
        <v>Basic</v>
      </c>
      <c r="AL97">
        <f ca="1"/>
        <v>44901</v>
      </c>
      <c r="AM97">
        <f ca="1"/>
        <v>749.95</v>
      </c>
      <c r="AN97" t="str">
        <f ca="1"/>
        <v>Nov</v>
      </c>
      <c r="AO97">
        <f ca="1"/>
        <v>46078</v>
      </c>
      <c r="AP97">
        <f ca="1"/>
        <v>46078.801391898145</v>
      </c>
      <c r="AQ97">
        <f ca="1"/>
        <v>3</v>
      </c>
      <c r="AR97">
        <f ca="1"/>
        <v>45626</v>
      </c>
      <c r="AS97">
        <f ca="1"/>
        <v>5499.8099999999995</v>
      </c>
      <c r="AT97" t="str">
        <f ca="1"/>
        <v>Normal</v>
      </c>
      <c r="AU97">
        <f ca="1"/>
        <v>35</v>
      </c>
      <c r="AV97" t="str">
        <f ca="1"/>
        <v>S.D</v>
      </c>
    </row>
    <row r="98" spans="1:48" ht="15.75" customHeight="1" x14ac:dyDescent="0.3">
      <c r="A98" s="11" t="s">
        <v>227</v>
      </c>
      <c r="B98" s="15">
        <v>45528</v>
      </c>
      <c r="C98" s="11" t="s">
        <v>228</v>
      </c>
      <c r="D98" s="11" t="s">
        <v>229</v>
      </c>
      <c r="E98" s="11" t="s">
        <v>116</v>
      </c>
      <c r="F98" s="11" t="s">
        <v>117</v>
      </c>
      <c r="G98" s="11" t="s">
        <v>35</v>
      </c>
      <c r="H98" s="11">
        <v>3</v>
      </c>
      <c r="I98" s="11">
        <v>79.989999999999995</v>
      </c>
      <c r="J98" s="11" t="s">
        <v>22</v>
      </c>
      <c r="K98" s="11" t="s">
        <v>23</v>
      </c>
      <c r="L98" s="11" t="s">
        <v>29</v>
      </c>
      <c r="M98" s="14">
        <v>44779</v>
      </c>
      <c r="N98" s="11">
        <v>239.97</v>
      </c>
      <c r="O98" s="11" t="str">
        <f t="shared" si="9"/>
        <v>Aug</v>
      </c>
      <c r="P98" s="15">
        <f t="shared" ca="1" si="10"/>
        <v>46078</v>
      </c>
      <c r="Q98" s="18">
        <f t="shared" ca="1" si="11"/>
        <v>46078.801391898145</v>
      </c>
      <c r="R98" s="11">
        <f t="shared" ca="1" si="12"/>
        <v>3</v>
      </c>
      <c r="S98" s="15">
        <f t="shared" si="13"/>
        <v>45535</v>
      </c>
      <c r="T98" s="11">
        <f t="shared" si="14"/>
        <v>6989.7699999999986</v>
      </c>
      <c r="U98" s="11" t="str">
        <f t="shared" si="15"/>
        <v>Normal</v>
      </c>
      <c r="V98" s="11">
        <f t="shared" si="16"/>
        <v>14</v>
      </c>
      <c r="W98" s="6" t="str">
        <f t="shared" si="17"/>
        <v>L.R</v>
      </c>
      <c r="Z98" t="str">
        <f ca="1"/>
        <v>TRX0160</v>
      </c>
      <c r="AA98">
        <f ca="1"/>
        <v>45617</v>
      </c>
      <c r="AB98" t="str">
        <f ca="1"/>
        <v>CUST029</v>
      </c>
      <c r="AC98" t="str">
        <f ca="1"/>
        <v>Edward Mitchell</v>
      </c>
      <c r="AD98" t="str">
        <f ca="1"/>
        <v>P006</v>
      </c>
      <c r="AE98" t="str">
        <f ca="1"/>
        <v>Office Chair</v>
      </c>
      <c r="AF98" t="str">
        <f ca="1"/>
        <v>Furniture</v>
      </c>
      <c r="AG98">
        <f ca="1"/>
        <v>4</v>
      </c>
      <c r="AH98">
        <f ca="1"/>
        <v>199.99</v>
      </c>
      <c r="AI98" t="str">
        <f ca="1"/>
        <v>Debit Card</v>
      </c>
      <c r="AJ98" t="str">
        <f ca="1"/>
        <v>Central</v>
      </c>
      <c r="AK98" t="str">
        <f ca="1"/>
        <v>Premium</v>
      </c>
      <c r="AL98">
        <f ca="1"/>
        <v>44427</v>
      </c>
      <c r="AM98">
        <f ca="1"/>
        <v>799.96</v>
      </c>
      <c r="AN98" t="str">
        <f ca="1"/>
        <v>Nov</v>
      </c>
      <c r="AO98">
        <f ca="1"/>
        <v>46078</v>
      </c>
      <c r="AP98">
        <f ca="1"/>
        <v>46078.801391898145</v>
      </c>
      <c r="AQ98">
        <f ca="1"/>
        <v>4</v>
      </c>
      <c r="AR98">
        <f ca="1"/>
        <v>45626</v>
      </c>
      <c r="AS98">
        <f ca="1"/>
        <v>11919.769999999999</v>
      </c>
      <c r="AT98" t="str">
        <f ca="1"/>
        <v>High</v>
      </c>
      <c r="AU98">
        <f ca="1"/>
        <v>15</v>
      </c>
      <c r="AV98" t="str">
        <f ca="1"/>
        <v>E.M</v>
      </c>
    </row>
    <row r="99" spans="1:48" ht="15.75" customHeight="1" x14ac:dyDescent="0.3">
      <c r="A99" s="11" t="s">
        <v>230</v>
      </c>
      <c r="B99" s="15">
        <v>45528</v>
      </c>
      <c r="C99" s="11" t="s">
        <v>146</v>
      </c>
      <c r="D99" s="11" t="s">
        <v>147</v>
      </c>
      <c r="E99" s="11" t="s">
        <v>19</v>
      </c>
      <c r="F99" s="11" t="s">
        <v>20</v>
      </c>
      <c r="G99" s="11" t="s">
        <v>21</v>
      </c>
      <c r="H99" s="11">
        <v>2</v>
      </c>
      <c r="I99" s="11">
        <v>249.99</v>
      </c>
      <c r="J99" s="11" t="s">
        <v>22</v>
      </c>
      <c r="K99" s="11" t="s">
        <v>37</v>
      </c>
      <c r="L99" s="11" t="s">
        <v>38</v>
      </c>
      <c r="M99" s="14">
        <v>44572</v>
      </c>
      <c r="N99" s="11">
        <v>499.98</v>
      </c>
      <c r="O99" s="11" t="str">
        <f t="shared" si="9"/>
        <v>Aug</v>
      </c>
      <c r="P99" s="15">
        <f t="shared" ca="1" si="10"/>
        <v>46078</v>
      </c>
      <c r="Q99" s="18">
        <f t="shared" ca="1" si="11"/>
        <v>46078.801391898145</v>
      </c>
      <c r="R99" s="11">
        <f t="shared" ca="1" si="12"/>
        <v>4</v>
      </c>
      <c r="S99" s="15">
        <f t="shared" si="13"/>
        <v>45535</v>
      </c>
      <c r="T99" s="11">
        <f t="shared" si="14"/>
        <v>5519.8899999999994</v>
      </c>
      <c r="U99" s="11" t="str">
        <f t="shared" si="15"/>
        <v>Normal</v>
      </c>
      <c r="V99" s="11">
        <f t="shared" si="16"/>
        <v>26</v>
      </c>
      <c r="W99" s="6" t="str">
        <f t="shared" si="17"/>
        <v>H.M</v>
      </c>
      <c r="Z99" t="str">
        <f ca="1"/>
        <v>TRX0094</v>
      </c>
      <c r="AA99">
        <f ca="1"/>
        <v>45627</v>
      </c>
      <c r="AB99" t="str">
        <f ca="1"/>
        <v>CUST017</v>
      </c>
      <c r="AC99" t="str">
        <f ca="1"/>
        <v>Charles Allen</v>
      </c>
      <c r="AD99" t="str">
        <f ca="1"/>
        <v>P009</v>
      </c>
      <c r="AE99" t="str">
        <f ca="1"/>
        <v>Monitor</v>
      </c>
      <c r="AF99" t="str">
        <f ca="1"/>
        <v>Electronics</v>
      </c>
      <c r="AG99">
        <f ca="1"/>
        <v>5</v>
      </c>
      <c r="AH99">
        <f ca="1"/>
        <v>249.99</v>
      </c>
      <c r="AI99" t="str">
        <f ca="1"/>
        <v>Cash</v>
      </c>
      <c r="AJ99" t="str">
        <f ca="1"/>
        <v>Central</v>
      </c>
      <c r="AK99" t="str">
        <f ca="1"/>
        <v>Premium</v>
      </c>
      <c r="AL99">
        <f ca="1"/>
        <v>44485</v>
      </c>
      <c r="AM99">
        <f ca="1"/>
        <v>1249.95</v>
      </c>
      <c r="AN99" t="str">
        <f ca="1"/>
        <v>Dec</v>
      </c>
      <c r="AO99">
        <f ca="1"/>
        <v>46078</v>
      </c>
      <c r="AP99">
        <f ca="1"/>
        <v>46078.801391898145</v>
      </c>
      <c r="AQ99">
        <f ca="1"/>
        <v>4</v>
      </c>
      <c r="AR99">
        <f ca="1"/>
        <v>45657</v>
      </c>
      <c r="AS99">
        <f ca="1"/>
        <v>5089.7300000000005</v>
      </c>
      <c r="AT99" t="str">
        <f ca="1"/>
        <v>Normal</v>
      </c>
      <c r="AU99">
        <f ca="1"/>
        <v>26</v>
      </c>
      <c r="AV99" t="str">
        <f ca="1"/>
        <v>C.A</v>
      </c>
    </row>
    <row r="100" spans="1:48" ht="15.75" customHeight="1" x14ac:dyDescent="0.3">
      <c r="A100" s="11" t="s">
        <v>231</v>
      </c>
      <c r="B100" s="15">
        <v>45532</v>
      </c>
      <c r="C100" s="11" t="s">
        <v>198</v>
      </c>
      <c r="D100" s="11" t="s">
        <v>199</v>
      </c>
      <c r="E100" s="11" t="s">
        <v>82</v>
      </c>
      <c r="F100" s="11" t="s">
        <v>83</v>
      </c>
      <c r="G100" s="11" t="s">
        <v>21</v>
      </c>
      <c r="H100" s="11">
        <v>1</v>
      </c>
      <c r="I100" s="11">
        <v>699.99</v>
      </c>
      <c r="J100" s="11" t="s">
        <v>22</v>
      </c>
      <c r="K100" s="11" t="s">
        <v>23</v>
      </c>
      <c r="L100" s="11" t="s">
        <v>29</v>
      </c>
      <c r="M100" s="14">
        <v>44497</v>
      </c>
      <c r="N100" s="11">
        <v>699.99</v>
      </c>
      <c r="O100" s="11" t="str">
        <f t="shared" si="9"/>
        <v>Aug</v>
      </c>
      <c r="P100" s="15">
        <f t="shared" ca="1" si="10"/>
        <v>46078</v>
      </c>
      <c r="Q100" s="18">
        <f t="shared" ca="1" si="11"/>
        <v>46078.801391898145</v>
      </c>
      <c r="R100" s="11">
        <f t="shared" ca="1" si="12"/>
        <v>4</v>
      </c>
      <c r="S100" s="15">
        <f t="shared" si="13"/>
        <v>45535</v>
      </c>
      <c r="T100" s="11">
        <f t="shared" si="14"/>
        <v>6379.87</v>
      </c>
      <c r="U100" s="11" t="str">
        <f t="shared" si="15"/>
        <v>Normal</v>
      </c>
      <c r="V100" s="11">
        <f t="shared" si="16"/>
        <v>31</v>
      </c>
      <c r="W100" s="6" t="str">
        <f t="shared" si="17"/>
        <v>G.M</v>
      </c>
      <c r="Z100" t="str">
        <f ca="1"/>
        <v>TRX0180</v>
      </c>
      <c r="AA100">
        <f ca="1"/>
        <v>45635</v>
      </c>
      <c r="AB100" t="str">
        <f ca="1"/>
        <v>CUST036</v>
      </c>
      <c r="AC100" t="str">
        <f ca="1"/>
        <v>Nancy Collins</v>
      </c>
      <c r="AD100" t="str">
        <f ca="1"/>
        <v>P009</v>
      </c>
      <c r="AE100" t="str">
        <f ca="1"/>
        <v>Monitor</v>
      </c>
      <c r="AF100" t="str">
        <f ca="1"/>
        <v>Electronics</v>
      </c>
      <c r="AG100">
        <f ca="1"/>
        <v>2</v>
      </c>
      <c r="AH100">
        <f ca="1"/>
        <v>249.99</v>
      </c>
      <c r="AI100" t="str">
        <f ca="1"/>
        <v>Credit Card</v>
      </c>
      <c r="AJ100" t="str">
        <f ca="1"/>
        <v>Central</v>
      </c>
      <c r="AK100" t="str">
        <f ca="1"/>
        <v>Premium</v>
      </c>
      <c r="AL100">
        <f ca="1"/>
        <v>44396</v>
      </c>
      <c r="AM100">
        <f ca="1"/>
        <v>499.98</v>
      </c>
      <c r="AN100" t="str">
        <f ca="1"/>
        <v>Dec</v>
      </c>
      <c r="AO100">
        <f ca="1"/>
        <v>46078</v>
      </c>
      <c r="AP100">
        <f ca="1"/>
        <v>46078.801391898145</v>
      </c>
      <c r="AQ100">
        <f ca="1"/>
        <v>4</v>
      </c>
      <c r="AR100">
        <f ca="1"/>
        <v>45657</v>
      </c>
      <c r="AS100">
        <f ca="1"/>
        <v>4189.7700000000004</v>
      </c>
      <c r="AT100" t="str">
        <f ca="1"/>
        <v>Normal</v>
      </c>
      <c r="AU100">
        <f ca="1"/>
        <v>26</v>
      </c>
      <c r="AV100" t="str">
        <f ca="1"/>
        <v>N.C</v>
      </c>
    </row>
    <row r="101" spans="1:48" ht="15.75" customHeight="1" x14ac:dyDescent="0.3">
      <c r="A101" s="11" t="s">
        <v>232</v>
      </c>
      <c r="B101" s="15">
        <v>45532</v>
      </c>
      <c r="C101" s="11" t="s">
        <v>233</v>
      </c>
      <c r="D101" s="11" t="s">
        <v>234</v>
      </c>
      <c r="E101" s="11" t="s">
        <v>54</v>
      </c>
      <c r="F101" s="11" t="s">
        <v>55</v>
      </c>
      <c r="G101" s="11" t="s">
        <v>21</v>
      </c>
      <c r="H101" s="11">
        <v>3</v>
      </c>
      <c r="I101" s="11">
        <v>149.99</v>
      </c>
      <c r="J101" s="11" t="s">
        <v>22</v>
      </c>
      <c r="K101" s="11" t="s">
        <v>52</v>
      </c>
      <c r="L101" s="11" t="s">
        <v>29</v>
      </c>
      <c r="M101" s="14">
        <v>45212</v>
      </c>
      <c r="N101" s="11">
        <v>449.97</v>
      </c>
      <c r="O101" s="11" t="str">
        <f t="shared" si="9"/>
        <v>Aug</v>
      </c>
      <c r="P101" s="15">
        <f t="shared" ca="1" si="10"/>
        <v>46078</v>
      </c>
      <c r="Q101" s="18">
        <f t="shared" ca="1" si="11"/>
        <v>46078.801391898145</v>
      </c>
      <c r="R101" s="11">
        <f t="shared" ca="1" si="12"/>
        <v>2</v>
      </c>
      <c r="S101" s="15">
        <f t="shared" si="13"/>
        <v>45535</v>
      </c>
      <c r="T101" s="11">
        <f t="shared" si="14"/>
        <v>1149.93</v>
      </c>
      <c r="U101" s="11" t="str">
        <f t="shared" si="15"/>
        <v>Normal</v>
      </c>
      <c r="V101" s="11">
        <f t="shared" si="16"/>
        <v>16</v>
      </c>
      <c r="W101" s="6" t="str">
        <f t="shared" si="17"/>
        <v>C.E</v>
      </c>
      <c r="Z101" t="str">
        <f ca="1"/>
        <v>TRX0082</v>
      </c>
      <c r="AA101">
        <f ca="1"/>
        <v>45635</v>
      </c>
      <c r="AB101" t="str">
        <f ca="1"/>
        <v>CUST005</v>
      </c>
      <c r="AC101" t="str">
        <f ca="1"/>
        <v>James Johnson</v>
      </c>
      <c r="AD101" t="str">
        <f ca="1"/>
        <v>P005</v>
      </c>
      <c r="AE101" t="str">
        <f ca="1"/>
        <v>Blender</v>
      </c>
      <c r="AF101" t="str">
        <f ca="1"/>
        <v>Appliances</v>
      </c>
      <c r="AG101">
        <f ca="1"/>
        <v>3</v>
      </c>
      <c r="AH101">
        <f ca="1"/>
        <v>59.99</v>
      </c>
      <c r="AI101" t="str">
        <f ca="1"/>
        <v>Cash</v>
      </c>
      <c r="AJ101" t="str">
        <f ca="1"/>
        <v>Central</v>
      </c>
      <c r="AK101" t="str">
        <f ca="1"/>
        <v>Premium</v>
      </c>
      <c r="AL101">
        <f ca="1"/>
        <v>45052</v>
      </c>
      <c r="AM101">
        <f ca="1"/>
        <v>179.97</v>
      </c>
      <c r="AN101" t="str">
        <f ca="1"/>
        <v>Dec</v>
      </c>
      <c r="AO101">
        <f ca="1"/>
        <v>46078</v>
      </c>
      <c r="AP101">
        <f ca="1"/>
        <v>46078.801391898145</v>
      </c>
      <c r="AQ101">
        <f ca="1"/>
        <v>2</v>
      </c>
      <c r="AR101">
        <f ca="1"/>
        <v>45657</v>
      </c>
      <c r="AS101">
        <f ca="1"/>
        <v>179.97</v>
      </c>
      <c r="AT101" t="str">
        <f ca="1"/>
        <v>Normal</v>
      </c>
      <c r="AU101">
        <f ca="1"/>
        <v>29</v>
      </c>
      <c r="AV101" t="str">
        <f ca="1"/>
        <v>J.J</v>
      </c>
    </row>
    <row r="102" spans="1:48" ht="15.75" customHeight="1" x14ac:dyDescent="0.3">
      <c r="A102" s="11" t="s">
        <v>235</v>
      </c>
      <c r="B102" s="15">
        <v>45534</v>
      </c>
      <c r="C102" s="11" t="s">
        <v>236</v>
      </c>
      <c r="D102" s="11" t="s">
        <v>237</v>
      </c>
      <c r="E102" s="11" t="s">
        <v>82</v>
      </c>
      <c r="F102" s="11" t="s">
        <v>83</v>
      </c>
      <c r="G102" s="11" t="s">
        <v>21</v>
      </c>
      <c r="H102" s="11">
        <v>2</v>
      </c>
      <c r="I102" s="11">
        <v>699.99</v>
      </c>
      <c r="J102" s="11" t="s">
        <v>28</v>
      </c>
      <c r="K102" s="11" t="s">
        <v>42</v>
      </c>
      <c r="L102" s="11" t="s">
        <v>29</v>
      </c>
      <c r="M102" s="14">
        <v>44421</v>
      </c>
      <c r="N102" s="11">
        <v>1399.98</v>
      </c>
      <c r="O102" s="11" t="str">
        <f t="shared" si="9"/>
        <v>Aug</v>
      </c>
      <c r="P102" s="15">
        <f t="shared" ca="1" si="10"/>
        <v>46078</v>
      </c>
      <c r="Q102" s="18">
        <f t="shared" ca="1" si="11"/>
        <v>46078.801391898145</v>
      </c>
      <c r="R102" s="11">
        <f t="shared" ca="1" si="12"/>
        <v>4</v>
      </c>
      <c r="S102" s="15">
        <f t="shared" si="13"/>
        <v>45535</v>
      </c>
      <c r="T102" s="11">
        <f t="shared" si="14"/>
        <v>6349.83</v>
      </c>
      <c r="U102" s="11" t="str">
        <f t="shared" si="15"/>
        <v>Normal</v>
      </c>
      <c r="V102" s="11">
        <f t="shared" si="16"/>
        <v>31</v>
      </c>
      <c r="W102" s="6" t="str">
        <f t="shared" si="17"/>
        <v>S.P</v>
      </c>
      <c r="Z102" t="str">
        <f ca="1"/>
        <v>TRX0183</v>
      </c>
      <c r="AA102">
        <f ca="1"/>
        <v>45645</v>
      </c>
      <c r="AB102" t="str">
        <f ca="1"/>
        <v>CUST007</v>
      </c>
      <c r="AC102" t="str">
        <f ca="1"/>
        <v>David Martinez</v>
      </c>
      <c r="AD102" t="str">
        <f ca="1"/>
        <v>P010</v>
      </c>
      <c r="AE102" t="str">
        <f ca="1"/>
        <v>Keyboard</v>
      </c>
      <c r="AF102" t="str">
        <f ca="1"/>
        <v>Electronics</v>
      </c>
      <c r="AG102">
        <f ca="1"/>
        <v>1</v>
      </c>
      <c r="AH102">
        <f ca="1"/>
        <v>89.99</v>
      </c>
      <c r="AI102" t="str">
        <f ca="1"/>
        <v>Debit Card</v>
      </c>
      <c r="AJ102" t="str">
        <f ca="1"/>
        <v>Central</v>
      </c>
      <c r="AK102" t="str">
        <f ca="1"/>
        <v>Standard</v>
      </c>
      <c r="AL102">
        <f ca="1"/>
        <v>44760</v>
      </c>
      <c r="AM102">
        <f ca="1"/>
        <v>89.99</v>
      </c>
      <c r="AN102" t="str">
        <f ca="1"/>
        <v>Dec</v>
      </c>
      <c r="AO102">
        <f ca="1"/>
        <v>46078</v>
      </c>
      <c r="AP102">
        <f ca="1"/>
        <v>46078.801391898145</v>
      </c>
      <c r="AQ102">
        <f ca="1"/>
        <v>3</v>
      </c>
      <c r="AR102">
        <f ca="1"/>
        <v>45657</v>
      </c>
      <c r="AS102">
        <f ca="1"/>
        <v>1809.84</v>
      </c>
      <c r="AT102" t="str">
        <f ca="1"/>
        <v>Normal</v>
      </c>
      <c r="AU102">
        <f ca="1"/>
        <v>34</v>
      </c>
      <c r="AV102" t="str">
        <f ca="1"/>
        <v>D.M</v>
      </c>
    </row>
    <row r="103" spans="1:48" ht="15.75" customHeight="1" x14ac:dyDescent="0.3">
      <c r="A103" s="11" t="s">
        <v>238</v>
      </c>
      <c r="B103" s="15">
        <v>45537</v>
      </c>
      <c r="C103" s="11" t="s">
        <v>233</v>
      </c>
      <c r="D103" s="11" t="s">
        <v>234</v>
      </c>
      <c r="E103" s="11" t="s">
        <v>19</v>
      </c>
      <c r="F103" s="11" t="s">
        <v>20</v>
      </c>
      <c r="G103" s="11" t="s">
        <v>21</v>
      </c>
      <c r="H103" s="11">
        <v>1</v>
      </c>
      <c r="I103" s="11">
        <v>249.99</v>
      </c>
      <c r="J103" s="11" t="s">
        <v>28</v>
      </c>
      <c r="K103" s="11" t="s">
        <v>52</v>
      </c>
      <c r="L103" s="11" t="s">
        <v>29</v>
      </c>
      <c r="M103" s="14">
        <v>44685</v>
      </c>
      <c r="N103" s="11">
        <v>249.99</v>
      </c>
      <c r="O103" s="11" t="str">
        <f t="shared" si="9"/>
        <v>Sep</v>
      </c>
      <c r="P103" s="15">
        <f t="shared" ca="1" si="10"/>
        <v>46078</v>
      </c>
      <c r="Q103" s="18">
        <f t="shared" ca="1" si="11"/>
        <v>46078.801391898145</v>
      </c>
      <c r="R103" s="11">
        <f t="shared" ca="1" si="12"/>
        <v>3</v>
      </c>
      <c r="S103" s="15">
        <f t="shared" si="13"/>
        <v>45565</v>
      </c>
      <c r="T103" s="11">
        <f t="shared" si="14"/>
        <v>1149.93</v>
      </c>
      <c r="U103" s="11" t="str">
        <f t="shared" si="15"/>
        <v>Normal</v>
      </c>
      <c r="V103" s="11">
        <f t="shared" si="16"/>
        <v>26</v>
      </c>
      <c r="W103" s="6" t="str">
        <f t="shared" si="17"/>
        <v>C.E</v>
      </c>
      <c r="Z103" t="str">
        <f ca="1"/>
        <v>TRX0165</v>
      </c>
      <c r="AA103">
        <f ca="1"/>
        <v>45654</v>
      </c>
      <c r="AB103" t="str">
        <f ca="1"/>
        <v>CUST030</v>
      </c>
      <c r="AC103" t="str">
        <f ca="1"/>
        <v>Helen Roberts</v>
      </c>
      <c r="AD103" t="str">
        <f ca="1"/>
        <v>P006</v>
      </c>
      <c r="AE103" t="str">
        <f ca="1"/>
        <v>Office Chair</v>
      </c>
      <c r="AF103" t="str">
        <f ca="1"/>
        <v>Furniture</v>
      </c>
      <c r="AG103">
        <f ca="1"/>
        <v>4</v>
      </c>
      <c r="AH103">
        <f ca="1"/>
        <v>199.99</v>
      </c>
      <c r="AI103" t="str">
        <f ca="1"/>
        <v>Credit Card</v>
      </c>
      <c r="AJ103" t="str">
        <f ca="1"/>
        <v>Central</v>
      </c>
      <c r="AK103" t="str">
        <f ca="1"/>
        <v>Basic</v>
      </c>
      <c r="AL103">
        <f ca="1"/>
        <v>44523</v>
      </c>
      <c r="AM103">
        <f ca="1"/>
        <v>799.96</v>
      </c>
      <c r="AN103" t="str">
        <f ca="1"/>
        <v>Dec</v>
      </c>
      <c r="AO103">
        <f ca="1"/>
        <v>46078</v>
      </c>
      <c r="AP103">
        <f ca="1"/>
        <v>46078.801391898145</v>
      </c>
      <c r="AQ103">
        <f ca="1"/>
        <v>4</v>
      </c>
      <c r="AR103">
        <f ca="1"/>
        <v>45657</v>
      </c>
      <c r="AS103">
        <f ca="1"/>
        <v>6459.79</v>
      </c>
      <c r="AT103" t="str">
        <f ca="1"/>
        <v>Normal</v>
      </c>
      <c r="AU103">
        <f ca="1"/>
        <v>15</v>
      </c>
      <c r="AV103" t="str">
        <f ca="1"/>
        <v>H.R</v>
      </c>
    </row>
    <row r="104" spans="1:48" ht="15.75" customHeight="1" x14ac:dyDescent="0.3">
      <c r="A104" s="11" t="s">
        <v>239</v>
      </c>
      <c r="B104" s="15">
        <v>45537</v>
      </c>
      <c r="C104" s="11" t="s">
        <v>17</v>
      </c>
      <c r="D104" s="11" t="s">
        <v>18</v>
      </c>
      <c r="E104" s="11" t="s">
        <v>19</v>
      </c>
      <c r="F104" s="11" t="s">
        <v>20</v>
      </c>
      <c r="G104" s="11" t="s">
        <v>21</v>
      </c>
      <c r="H104" s="11">
        <v>1</v>
      </c>
      <c r="I104" s="11">
        <v>249.99</v>
      </c>
      <c r="J104" s="11" t="s">
        <v>59</v>
      </c>
      <c r="K104" s="11" t="s">
        <v>42</v>
      </c>
      <c r="L104" s="11" t="s">
        <v>29</v>
      </c>
      <c r="M104" s="14">
        <v>45332</v>
      </c>
      <c r="N104" s="11">
        <v>249.99</v>
      </c>
      <c r="O104" s="11" t="str">
        <f t="shared" si="9"/>
        <v>Sep</v>
      </c>
      <c r="P104" s="15">
        <f t="shared" ca="1" si="10"/>
        <v>46078</v>
      </c>
      <c r="Q104" s="18">
        <f t="shared" ca="1" si="11"/>
        <v>46078.801391898145</v>
      </c>
      <c r="R104" s="11">
        <f t="shared" ca="1" si="12"/>
        <v>2</v>
      </c>
      <c r="S104" s="15">
        <f t="shared" si="13"/>
        <v>45565</v>
      </c>
      <c r="T104" s="11">
        <f t="shared" si="14"/>
        <v>8309.739999999998</v>
      </c>
      <c r="U104" s="11" t="str">
        <f t="shared" si="15"/>
        <v>Normal</v>
      </c>
      <c r="V104" s="11">
        <f t="shared" si="16"/>
        <v>26</v>
      </c>
      <c r="W104" s="6" t="str">
        <f t="shared" si="17"/>
        <v>P.B</v>
      </c>
      <c r="Z104" t="str">
        <f ca="1"/>
        <v>TRX0147</v>
      </c>
      <c r="AA104">
        <f ca="1"/>
        <v>45655</v>
      </c>
      <c r="AB104" t="str">
        <f ca="1"/>
        <v>CUST036</v>
      </c>
      <c r="AC104" t="str">
        <f ca="1"/>
        <v>Nancy Collins</v>
      </c>
      <c r="AD104" t="str">
        <f ca="1"/>
        <v>P008</v>
      </c>
      <c r="AE104" t="str">
        <f ca="1"/>
        <v>Bookshelf</v>
      </c>
      <c r="AF104" t="str">
        <f ca="1"/>
        <v>Furniture</v>
      </c>
      <c r="AG104">
        <f ca="1"/>
        <v>5</v>
      </c>
      <c r="AH104">
        <f ca="1"/>
        <v>149.99</v>
      </c>
      <c r="AI104" t="str">
        <f ca="1"/>
        <v>Cash</v>
      </c>
      <c r="AJ104" t="str">
        <f ca="1"/>
        <v>Central</v>
      </c>
      <c r="AK104" t="str">
        <f ca="1"/>
        <v>Premium</v>
      </c>
      <c r="AL104">
        <f ca="1"/>
        <v>45347</v>
      </c>
      <c r="AM104">
        <f ca="1"/>
        <v>749.95</v>
      </c>
      <c r="AN104" t="str">
        <f ca="1"/>
        <v>Dec</v>
      </c>
      <c r="AO104">
        <f ca="1"/>
        <v>46078</v>
      </c>
      <c r="AP104">
        <f ca="1"/>
        <v>46078.801391898145</v>
      </c>
      <c r="AQ104">
        <f ca="1"/>
        <v>2</v>
      </c>
      <c r="AR104">
        <f ca="1"/>
        <v>45657</v>
      </c>
      <c r="AS104">
        <f ca="1"/>
        <v>4189.7700000000004</v>
      </c>
      <c r="AT104" t="str">
        <f ca="1"/>
        <v>Normal</v>
      </c>
      <c r="AU104">
        <f ca="1"/>
        <v>35</v>
      </c>
      <c r="AV104" t="str">
        <f ca="1"/>
        <v>N.C</v>
      </c>
    </row>
    <row r="105" spans="1:48" ht="15.75" customHeight="1" x14ac:dyDescent="0.3">
      <c r="A105" s="11" t="s">
        <v>240</v>
      </c>
      <c r="B105" s="15">
        <v>45538</v>
      </c>
      <c r="C105" s="11" t="s">
        <v>228</v>
      </c>
      <c r="D105" s="11" t="s">
        <v>229</v>
      </c>
      <c r="E105" s="11" t="s">
        <v>82</v>
      </c>
      <c r="F105" s="11" t="s">
        <v>83</v>
      </c>
      <c r="G105" s="11" t="s">
        <v>21</v>
      </c>
      <c r="H105" s="11">
        <v>2</v>
      </c>
      <c r="I105" s="11">
        <v>699.99</v>
      </c>
      <c r="J105" s="11" t="s">
        <v>59</v>
      </c>
      <c r="K105" s="11" t="s">
        <v>23</v>
      </c>
      <c r="L105" s="11" t="s">
        <v>29</v>
      </c>
      <c r="M105" s="14">
        <v>44870</v>
      </c>
      <c r="N105" s="11">
        <v>1399.98</v>
      </c>
      <c r="O105" s="11" t="str">
        <f t="shared" si="9"/>
        <v>Sep</v>
      </c>
      <c r="P105" s="15">
        <f t="shared" ca="1" si="10"/>
        <v>46078</v>
      </c>
      <c r="Q105" s="18">
        <f t="shared" ca="1" si="11"/>
        <v>46078.801391898145</v>
      </c>
      <c r="R105" s="11">
        <f t="shared" ca="1" si="12"/>
        <v>3</v>
      </c>
      <c r="S105" s="15">
        <f t="shared" si="13"/>
        <v>45565</v>
      </c>
      <c r="T105" s="11">
        <f t="shared" si="14"/>
        <v>6989.7699999999986</v>
      </c>
      <c r="U105" s="11" t="str">
        <f t="shared" si="15"/>
        <v>Normal</v>
      </c>
      <c r="V105" s="11">
        <f t="shared" si="16"/>
        <v>31</v>
      </c>
      <c r="W105" s="6" t="str">
        <f t="shared" si="17"/>
        <v>L.R</v>
      </c>
      <c r="Z105" t="str">
        <f ca="1"/>
        <v>TRX0125</v>
      </c>
      <c r="AA105">
        <f ca="1"/>
        <v>45666</v>
      </c>
      <c r="AB105" t="str">
        <f ca="1"/>
        <v>CUST026</v>
      </c>
      <c r="AC105" t="str">
        <f ca="1"/>
        <v>Karen Hill</v>
      </c>
      <c r="AD105" t="str">
        <f ca="1"/>
        <v>P002</v>
      </c>
      <c r="AE105" t="str">
        <f ca="1"/>
        <v>Smartphone</v>
      </c>
      <c r="AF105" t="str">
        <f ca="1"/>
        <v>Electronics</v>
      </c>
      <c r="AG105">
        <f ca="1"/>
        <v>3</v>
      </c>
      <c r="AH105">
        <f ca="1"/>
        <v>699.99</v>
      </c>
      <c r="AI105" t="str">
        <f ca="1"/>
        <v>Credit Card</v>
      </c>
      <c r="AJ105" t="str">
        <f ca="1"/>
        <v>Central</v>
      </c>
      <c r="AK105" t="str">
        <f ca="1"/>
        <v>Premium</v>
      </c>
      <c r="AL105">
        <f ca="1"/>
        <v>45105</v>
      </c>
      <c r="AM105">
        <f ca="1"/>
        <v>2099.9699999999998</v>
      </c>
      <c r="AN105" t="str">
        <f ca="1"/>
        <v>Jan</v>
      </c>
      <c r="AO105">
        <f ca="1"/>
        <v>46078</v>
      </c>
      <c r="AP105">
        <f ca="1"/>
        <v>46078.801391898145</v>
      </c>
      <c r="AQ105">
        <f ca="1"/>
        <v>2</v>
      </c>
      <c r="AR105">
        <f ca="1"/>
        <v>45688</v>
      </c>
      <c r="AS105">
        <f ca="1"/>
        <v>8009.7699999999995</v>
      </c>
      <c r="AT105" t="str">
        <f ca="1"/>
        <v>Normal</v>
      </c>
      <c r="AU105">
        <f ca="1"/>
        <v>31</v>
      </c>
      <c r="AV105" t="str">
        <f ca="1"/>
        <v>K.H</v>
      </c>
    </row>
    <row r="106" spans="1:48" ht="15.75" customHeight="1" x14ac:dyDescent="0.3">
      <c r="A106" s="11" t="s">
        <v>241</v>
      </c>
      <c r="B106" s="15">
        <v>45541</v>
      </c>
      <c r="C106" s="11" t="s">
        <v>140</v>
      </c>
      <c r="D106" s="11" t="s">
        <v>141</v>
      </c>
      <c r="E106" s="11" t="s">
        <v>33</v>
      </c>
      <c r="F106" s="11" t="s">
        <v>34</v>
      </c>
      <c r="G106" s="11" t="s">
        <v>35</v>
      </c>
      <c r="H106" s="11">
        <v>3</v>
      </c>
      <c r="I106" s="11">
        <v>59.99</v>
      </c>
      <c r="J106" s="11" t="s">
        <v>28</v>
      </c>
      <c r="K106" s="11" t="s">
        <v>23</v>
      </c>
      <c r="L106" s="11" t="s">
        <v>29</v>
      </c>
      <c r="M106" s="14">
        <v>44717</v>
      </c>
      <c r="N106" s="11">
        <v>179.97</v>
      </c>
      <c r="O106" s="11" t="str">
        <f t="shared" si="9"/>
        <v>Sep</v>
      </c>
      <c r="P106" s="15">
        <f t="shared" ca="1" si="10"/>
        <v>46078</v>
      </c>
      <c r="Q106" s="18">
        <f t="shared" ca="1" si="11"/>
        <v>46078.801391898145</v>
      </c>
      <c r="R106" s="11">
        <f t="shared" ca="1" si="12"/>
        <v>3</v>
      </c>
      <c r="S106" s="15">
        <f t="shared" si="13"/>
        <v>45565</v>
      </c>
      <c r="T106" s="11">
        <f t="shared" si="14"/>
        <v>2649.83</v>
      </c>
      <c r="U106" s="11" t="str">
        <f t="shared" si="15"/>
        <v>Normal</v>
      </c>
      <c r="V106" s="11">
        <f t="shared" si="16"/>
        <v>29</v>
      </c>
      <c r="W106" s="6" t="str">
        <f t="shared" si="17"/>
        <v>S.T</v>
      </c>
      <c r="Z106" t="str">
        <f ca="1"/>
        <v>TRX0223</v>
      </c>
      <c r="AA106">
        <f ca="1"/>
        <v>45667</v>
      </c>
      <c r="AB106" t="str">
        <f ca="1"/>
        <v>CUST036</v>
      </c>
      <c r="AC106" t="str">
        <f ca="1"/>
        <v>Nancy Collins</v>
      </c>
      <c r="AD106" t="str">
        <f ca="1"/>
        <v>P006</v>
      </c>
      <c r="AE106" t="str">
        <f ca="1"/>
        <v>Office Chair</v>
      </c>
      <c r="AF106" t="str">
        <f ca="1"/>
        <v>Furniture</v>
      </c>
      <c r="AG106">
        <f ca="1"/>
        <v>5</v>
      </c>
      <c r="AH106">
        <f ca="1"/>
        <v>199.99</v>
      </c>
      <c r="AI106" t="str">
        <f ca="1"/>
        <v>PayPal</v>
      </c>
      <c r="AJ106" t="str">
        <f ca="1"/>
        <v>Central</v>
      </c>
      <c r="AK106" t="str">
        <f ca="1"/>
        <v>Standard</v>
      </c>
      <c r="AL106">
        <f ca="1"/>
        <v>44633</v>
      </c>
      <c r="AM106">
        <f ca="1"/>
        <v>999.95</v>
      </c>
      <c r="AN106" t="str">
        <f ca="1"/>
        <v>Jan</v>
      </c>
      <c r="AO106">
        <f ca="1"/>
        <v>46078</v>
      </c>
      <c r="AP106">
        <f ca="1"/>
        <v>46078.801391898145</v>
      </c>
      <c r="AQ106">
        <f ca="1"/>
        <v>3</v>
      </c>
      <c r="AR106">
        <f ca="1"/>
        <v>45688</v>
      </c>
      <c r="AS106">
        <f ca="1"/>
        <v>4189.7700000000004</v>
      </c>
      <c r="AT106" t="str">
        <f ca="1"/>
        <v>Normal</v>
      </c>
      <c r="AU106">
        <f ca="1"/>
        <v>15</v>
      </c>
      <c r="AV106" t="str">
        <f ca="1"/>
        <v>N.C</v>
      </c>
    </row>
    <row r="107" spans="1:48" ht="15.75" customHeight="1" x14ac:dyDescent="0.3">
      <c r="A107" s="11" t="s">
        <v>242</v>
      </c>
      <c r="B107" s="15">
        <v>45544</v>
      </c>
      <c r="C107" s="11" t="s">
        <v>134</v>
      </c>
      <c r="D107" s="11" t="s">
        <v>135</v>
      </c>
      <c r="E107" s="11" t="s">
        <v>33</v>
      </c>
      <c r="F107" s="11" t="s">
        <v>34</v>
      </c>
      <c r="G107" s="11" t="s">
        <v>35</v>
      </c>
      <c r="H107" s="11">
        <v>3</v>
      </c>
      <c r="I107" s="11">
        <v>59.99</v>
      </c>
      <c r="J107" s="11" t="s">
        <v>36</v>
      </c>
      <c r="K107" s="11" t="s">
        <v>65</v>
      </c>
      <c r="L107" s="11" t="s">
        <v>38</v>
      </c>
      <c r="M107" s="14">
        <v>44748</v>
      </c>
      <c r="N107" s="11">
        <v>179.97</v>
      </c>
      <c r="O107" s="11" t="str">
        <f t="shared" si="9"/>
        <v>Sep</v>
      </c>
      <c r="P107" s="15">
        <f t="shared" ca="1" si="10"/>
        <v>46078</v>
      </c>
      <c r="Q107" s="18">
        <f t="shared" ca="1" si="11"/>
        <v>46078.801391898145</v>
      </c>
      <c r="R107" s="11">
        <f t="shared" ca="1" si="12"/>
        <v>3</v>
      </c>
      <c r="S107" s="15">
        <f t="shared" si="13"/>
        <v>45565</v>
      </c>
      <c r="T107" s="11">
        <f t="shared" si="14"/>
        <v>1229.8800000000001</v>
      </c>
      <c r="U107" s="11" t="str">
        <f t="shared" si="15"/>
        <v>Normal</v>
      </c>
      <c r="V107" s="11">
        <f t="shared" si="16"/>
        <v>29</v>
      </c>
      <c r="W107" s="6" t="str">
        <f t="shared" si="17"/>
        <v>E.W</v>
      </c>
      <c r="Z107" t="str">
        <f ca="1"/>
        <v>TRX0059</v>
      </c>
      <c r="AA107">
        <f ca="1"/>
        <v>45673</v>
      </c>
      <c r="AB107" t="str">
        <f ca="1"/>
        <v>CUST016</v>
      </c>
      <c r="AC107" t="str">
        <f ca="1"/>
        <v>Elizabeth Hall</v>
      </c>
      <c r="AD107" t="str">
        <f ca="1"/>
        <v>P007</v>
      </c>
      <c r="AE107" t="str">
        <f ca="1"/>
        <v>Desk</v>
      </c>
      <c r="AF107" t="str">
        <f ca="1"/>
        <v>Furniture</v>
      </c>
      <c r="AG107">
        <f ca="1"/>
        <v>5</v>
      </c>
      <c r="AH107">
        <f ca="1"/>
        <v>299.99</v>
      </c>
      <c r="AI107" t="str">
        <f ca="1"/>
        <v>Debit Card</v>
      </c>
      <c r="AJ107" t="str">
        <f ca="1"/>
        <v>Central</v>
      </c>
      <c r="AK107" t="str">
        <f ca="1"/>
        <v>Basic</v>
      </c>
      <c r="AL107">
        <f ca="1"/>
        <v>44431</v>
      </c>
      <c r="AM107">
        <f ca="1"/>
        <v>1499.95</v>
      </c>
      <c r="AN107" t="str">
        <f ca="1"/>
        <v>Jan</v>
      </c>
      <c r="AO107">
        <f ca="1"/>
        <v>46078</v>
      </c>
      <c r="AP107">
        <f ca="1"/>
        <v>46078.801391898145</v>
      </c>
      <c r="AQ107">
        <f ca="1"/>
        <v>4</v>
      </c>
      <c r="AR107">
        <f ca="1"/>
        <v>45688</v>
      </c>
      <c r="AS107">
        <f ca="1"/>
        <v>3649.8599999999997</v>
      </c>
      <c r="AT107" t="str">
        <f ca="1"/>
        <v>Normal</v>
      </c>
      <c r="AU107">
        <f ca="1"/>
        <v>26</v>
      </c>
      <c r="AV107" t="str">
        <f ca="1"/>
        <v>E.H</v>
      </c>
    </row>
    <row r="108" spans="1:48" ht="15.75" customHeight="1" x14ac:dyDescent="0.3">
      <c r="A108" s="11" t="s">
        <v>243</v>
      </c>
      <c r="B108" s="15">
        <v>45544</v>
      </c>
      <c r="C108" s="11" t="s">
        <v>143</v>
      </c>
      <c r="D108" s="11" t="s">
        <v>144</v>
      </c>
      <c r="E108" s="11" t="s">
        <v>116</v>
      </c>
      <c r="F108" s="11" t="s">
        <v>117</v>
      </c>
      <c r="G108" s="11" t="s">
        <v>35</v>
      </c>
      <c r="H108" s="11">
        <v>4</v>
      </c>
      <c r="I108" s="11">
        <v>79.989999999999995</v>
      </c>
      <c r="J108" s="11" t="s">
        <v>22</v>
      </c>
      <c r="K108" s="11" t="s">
        <v>42</v>
      </c>
      <c r="L108" s="11" t="s">
        <v>24</v>
      </c>
      <c r="M108" s="14">
        <v>44530</v>
      </c>
      <c r="N108" s="11">
        <v>319.95999999999998</v>
      </c>
      <c r="O108" s="11" t="str">
        <f t="shared" si="9"/>
        <v>Sep</v>
      </c>
      <c r="P108" s="15">
        <f t="shared" ca="1" si="10"/>
        <v>46078</v>
      </c>
      <c r="Q108" s="18">
        <f t="shared" ca="1" si="11"/>
        <v>46078.801391898145</v>
      </c>
      <c r="R108" s="11">
        <f t="shared" ca="1" si="12"/>
        <v>4</v>
      </c>
      <c r="S108" s="15">
        <f t="shared" si="13"/>
        <v>45565</v>
      </c>
      <c r="T108" s="11">
        <f t="shared" si="14"/>
        <v>4739.8500000000004</v>
      </c>
      <c r="U108" s="11" t="str">
        <f t="shared" si="15"/>
        <v>Normal</v>
      </c>
      <c r="V108" s="11">
        <f t="shared" si="16"/>
        <v>14</v>
      </c>
      <c r="W108" s="6" t="str">
        <f t="shared" si="17"/>
        <v>J.T</v>
      </c>
      <c r="Z108" t="str">
        <f ca="1"/>
        <v>TRX0159</v>
      </c>
      <c r="AA108">
        <f ca="1"/>
        <v>45683</v>
      </c>
      <c r="AB108" t="str">
        <f ca="1"/>
        <v>CUST024</v>
      </c>
      <c r="AC108" t="str">
        <f ca="1"/>
        <v>Dorothy Nelson</v>
      </c>
      <c r="AD108" t="str">
        <f ca="1"/>
        <v>P009</v>
      </c>
      <c r="AE108" t="str">
        <f ca="1"/>
        <v>Monitor</v>
      </c>
      <c r="AF108" t="str">
        <f ca="1"/>
        <v>Electronics</v>
      </c>
      <c r="AG108">
        <f ca="1"/>
        <v>4</v>
      </c>
      <c r="AH108">
        <f ca="1"/>
        <v>249.99</v>
      </c>
      <c r="AI108" t="str">
        <f ca="1"/>
        <v>Debit Card</v>
      </c>
      <c r="AJ108" t="str">
        <f ca="1"/>
        <v>Central</v>
      </c>
      <c r="AK108" t="str">
        <f ca="1"/>
        <v>Premium</v>
      </c>
      <c r="AL108">
        <f ca="1"/>
        <v>45217</v>
      </c>
      <c r="AM108">
        <f ca="1"/>
        <v>999.96</v>
      </c>
      <c r="AN108" t="str">
        <f ca="1"/>
        <v>Jan</v>
      </c>
      <c r="AO108">
        <f ca="1"/>
        <v>46078</v>
      </c>
      <c r="AP108">
        <f ca="1"/>
        <v>46078.801391898145</v>
      </c>
      <c r="AQ108">
        <f ca="1"/>
        <v>2</v>
      </c>
      <c r="AR108">
        <f ca="1"/>
        <v>45688</v>
      </c>
      <c r="AS108">
        <f ca="1"/>
        <v>8269.7900000000009</v>
      </c>
      <c r="AT108" t="str">
        <f ca="1"/>
        <v>Normal</v>
      </c>
      <c r="AU108">
        <f ca="1"/>
        <v>26</v>
      </c>
      <c r="AV108" t="str">
        <f ca="1"/>
        <v>D.N</v>
      </c>
    </row>
    <row r="109" spans="1:48" ht="15.75" customHeight="1" x14ac:dyDescent="0.3">
      <c r="A109" s="11" t="s">
        <v>244</v>
      </c>
      <c r="B109" s="15">
        <v>45545</v>
      </c>
      <c r="C109" s="11" t="s">
        <v>57</v>
      </c>
      <c r="D109" s="11" t="s">
        <v>58</v>
      </c>
      <c r="E109" s="11" t="s">
        <v>116</v>
      </c>
      <c r="F109" s="11" t="s">
        <v>117</v>
      </c>
      <c r="G109" s="11" t="s">
        <v>35</v>
      </c>
      <c r="H109" s="11">
        <v>1</v>
      </c>
      <c r="I109" s="11">
        <v>79.989999999999995</v>
      </c>
      <c r="J109" s="11" t="s">
        <v>22</v>
      </c>
      <c r="K109" s="11" t="s">
        <v>52</v>
      </c>
      <c r="L109" s="11" t="s">
        <v>24</v>
      </c>
      <c r="M109" s="14">
        <v>44693</v>
      </c>
      <c r="N109" s="11">
        <v>79.989999999999995</v>
      </c>
      <c r="O109" s="11" t="str">
        <f t="shared" si="9"/>
        <v>Sep</v>
      </c>
      <c r="P109" s="15">
        <f t="shared" ca="1" si="10"/>
        <v>46078</v>
      </c>
      <c r="Q109" s="18">
        <f t="shared" ca="1" si="11"/>
        <v>46078.801391898145</v>
      </c>
      <c r="R109" s="11">
        <f t="shared" ca="1" si="12"/>
        <v>3</v>
      </c>
      <c r="S109" s="15">
        <f t="shared" si="13"/>
        <v>45565</v>
      </c>
      <c r="T109" s="11">
        <f t="shared" si="14"/>
        <v>5089.7300000000005</v>
      </c>
      <c r="U109" s="11" t="str">
        <f t="shared" si="15"/>
        <v>Normal</v>
      </c>
      <c r="V109" s="11">
        <f t="shared" si="16"/>
        <v>14</v>
      </c>
      <c r="W109" s="6" t="str">
        <f t="shared" si="17"/>
        <v>C.A</v>
      </c>
      <c r="Z109" t="str">
        <f ca="1"/>
        <v>TRX0030</v>
      </c>
      <c r="AA109">
        <f ca="1"/>
        <v>45686</v>
      </c>
      <c r="AB109" t="str">
        <f ca="1"/>
        <v>CUST011</v>
      </c>
      <c r="AC109" t="str">
        <f ca="1"/>
        <v>William White</v>
      </c>
      <c r="AD109" t="str">
        <f ca="1"/>
        <v>P001</v>
      </c>
      <c r="AE109" t="str">
        <f ca="1"/>
        <v>Laptop</v>
      </c>
      <c r="AF109" t="str">
        <f ca="1"/>
        <v>Electronics</v>
      </c>
      <c r="AG109">
        <f ca="1"/>
        <v>4</v>
      </c>
      <c r="AH109">
        <f ca="1"/>
        <v>899.99</v>
      </c>
      <c r="AI109" t="str">
        <f ca="1"/>
        <v>PayPal</v>
      </c>
      <c r="AJ109" t="str">
        <f ca="1"/>
        <v>Central</v>
      </c>
      <c r="AK109" t="str">
        <f ca="1"/>
        <v>Basic</v>
      </c>
      <c r="AL109">
        <f ca="1"/>
        <v>44734</v>
      </c>
      <c r="AM109">
        <f ca="1"/>
        <v>3599.96</v>
      </c>
      <c r="AN109" t="str">
        <f ca="1"/>
        <v>Jan</v>
      </c>
      <c r="AO109">
        <f ca="1"/>
        <v>46078</v>
      </c>
      <c r="AP109">
        <f ca="1"/>
        <v>46078.801391898145</v>
      </c>
      <c r="AQ109">
        <f ca="1"/>
        <v>3</v>
      </c>
      <c r="AR109">
        <f ca="1"/>
        <v>45688</v>
      </c>
      <c r="AS109">
        <f ca="1"/>
        <v>4749.91</v>
      </c>
      <c r="AT109" t="str">
        <f ca="1"/>
        <v>Normal</v>
      </c>
      <c r="AU109">
        <f ca="1"/>
        <v>24</v>
      </c>
      <c r="AV109" t="str">
        <f ca="1"/>
        <v>W.W</v>
      </c>
    </row>
    <row r="110" spans="1:48" ht="15.75" customHeight="1" x14ac:dyDescent="0.3">
      <c r="A110" s="11" t="s">
        <v>245</v>
      </c>
      <c r="B110" s="15">
        <v>45547</v>
      </c>
      <c r="C110" s="11" t="s">
        <v>50</v>
      </c>
      <c r="D110" s="11" t="s">
        <v>51</v>
      </c>
      <c r="E110" s="11" t="s">
        <v>107</v>
      </c>
      <c r="F110" s="11" t="s">
        <v>108</v>
      </c>
      <c r="G110" s="11" t="s">
        <v>48</v>
      </c>
      <c r="H110" s="11">
        <v>3</v>
      </c>
      <c r="I110" s="11">
        <v>299.99</v>
      </c>
      <c r="J110" s="11" t="s">
        <v>28</v>
      </c>
      <c r="K110" s="11" t="s">
        <v>23</v>
      </c>
      <c r="L110" s="11" t="s">
        <v>29</v>
      </c>
      <c r="M110" s="14">
        <v>44494</v>
      </c>
      <c r="N110" s="11">
        <v>899.97</v>
      </c>
      <c r="O110" s="11" t="str">
        <f t="shared" si="9"/>
        <v>Sep</v>
      </c>
      <c r="P110" s="15">
        <f t="shared" ca="1" si="10"/>
        <v>46078</v>
      </c>
      <c r="Q110" s="18">
        <f t="shared" ca="1" si="11"/>
        <v>46078.801391898145</v>
      </c>
      <c r="R110" s="11">
        <f t="shared" ca="1" si="12"/>
        <v>4</v>
      </c>
      <c r="S110" s="15">
        <f t="shared" si="13"/>
        <v>45565</v>
      </c>
      <c r="T110" s="11">
        <f t="shared" si="14"/>
        <v>8269.7900000000009</v>
      </c>
      <c r="U110" s="11" t="str">
        <f t="shared" si="15"/>
        <v>Normal</v>
      </c>
      <c r="V110" s="11">
        <f t="shared" si="16"/>
        <v>26</v>
      </c>
      <c r="W110" s="6" t="str">
        <f t="shared" si="17"/>
        <v>D.N</v>
      </c>
      <c r="Z110" t="str">
        <f ca="1"/>
        <v>TRX0188</v>
      </c>
      <c r="AA110">
        <f ca="1"/>
        <v>45686</v>
      </c>
      <c r="AB110" t="str">
        <f ca="1"/>
        <v>CUST045</v>
      </c>
      <c r="AC110" t="str">
        <f ca="1"/>
        <v>Douglas Watson</v>
      </c>
      <c r="AD110" t="str">
        <f ca="1"/>
        <v>P002</v>
      </c>
      <c r="AE110" t="str">
        <f ca="1"/>
        <v>Smartphone</v>
      </c>
      <c r="AF110" t="str">
        <f ca="1"/>
        <v>Electronics</v>
      </c>
      <c r="AG110">
        <f ca="1"/>
        <v>2</v>
      </c>
      <c r="AH110">
        <f ca="1"/>
        <v>699.99</v>
      </c>
      <c r="AI110" t="str">
        <f ca="1"/>
        <v>Debit Card</v>
      </c>
      <c r="AJ110" t="str">
        <f ca="1"/>
        <v>Central</v>
      </c>
      <c r="AK110" t="str">
        <f ca="1"/>
        <v>Premium</v>
      </c>
      <c r="AL110">
        <f ca="1"/>
        <v>44681</v>
      </c>
      <c r="AM110">
        <f ca="1"/>
        <v>1399.98</v>
      </c>
      <c r="AN110" t="str">
        <f ca="1"/>
        <v>Jan</v>
      </c>
      <c r="AO110">
        <f ca="1"/>
        <v>46078</v>
      </c>
      <c r="AP110">
        <f ca="1"/>
        <v>46078.801391898145</v>
      </c>
      <c r="AQ110">
        <f ca="1"/>
        <v>3</v>
      </c>
      <c r="AR110">
        <f ca="1"/>
        <v>45688</v>
      </c>
      <c r="AS110">
        <f ca="1"/>
        <v>4829.8899999999994</v>
      </c>
      <c r="AT110" t="str">
        <f ca="1"/>
        <v>Normal</v>
      </c>
      <c r="AU110">
        <f ca="1"/>
        <v>31</v>
      </c>
      <c r="AV110" t="str">
        <f ca="1"/>
        <v>D.W</v>
      </c>
    </row>
    <row r="111" spans="1:48" ht="15.75" customHeight="1" x14ac:dyDescent="0.3">
      <c r="A111" s="11" t="s">
        <v>246</v>
      </c>
      <c r="B111" s="15">
        <v>45548</v>
      </c>
      <c r="C111" s="11" t="s">
        <v>40</v>
      </c>
      <c r="D111" s="11" t="s">
        <v>41</v>
      </c>
      <c r="E111" s="11" t="s">
        <v>119</v>
      </c>
      <c r="F111" s="11" t="s">
        <v>120</v>
      </c>
      <c r="G111" s="11" t="s">
        <v>21</v>
      </c>
      <c r="H111" s="11">
        <v>2</v>
      </c>
      <c r="I111" s="11">
        <v>89.99</v>
      </c>
      <c r="J111" s="11" t="s">
        <v>28</v>
      </c>
      <c r="K111" s="11" t="s">
        <v>37</v>
      </c>
      <c r="L111" s="11" t="s">
        <v>29</v>
      </c>
      <c r="M111" s="14">
        <v>44641</v>
      </c>
      <c r="N111" s="11">
        <v>179.98</v>
      </c>
      <c r="O111" s="11" t="str">
        <f t="shared" si="9"/>
        <v>Sep</v>
      </c>
      <c r="P111" s="15">
        <f t="shared" ca="1" si="10"/>
        <v>46078</v>
      </c>
      <c r="Q111" s="18">
        <f t="shared" ca="1" si="11"/>
        <v>46078.801391898145</v>
      </c>
      <c r="R111" s="11">
        <f t="shared" ca="1" si="12"/>
        <v>3</v>
      </c>
      <c r="S111" s="15">
        <f t="shared" si="13"/>
        <v>45565</v>
      </c>
      <c r="T111" s="11">
        <f t="shared" si="14"/>
        <v>4309.8099999999995</v>
      </c>
      <c r="U111" s="11" t="str">
        <f t="shared" si="15"/>
        <v>Normal</v>
      </c>
      <c r="V111" s="11">
        <f t="shared" si="16"/>
        <v>34</v>
      </c>
      <c r="W111" s="6" t="str">
        <f t="shared" si="17"/>
        <v>K.B</v>
      </c>
      <c r="Z111" t="str">
        <f ca="1"/>
        <v>TRX0219</v>
      </c>
      <c r="AA111">
        <f ca="1"/>
        <v>45692</v>
      </c>
      <c r="AB111" t="str">
        <f ca="1"/>
        <v>CUST037</v>
      </c>
      <c r="AC111" t="str">
        <f ca="1"/>
        <v>Arthur Edwards</v>
      </c>
      <c r="AD111" t="str">
        <f ca="1"/>
        <v>P005</v>
      </c>
      <c r="AE111" t="str">
        <f ca="1"/>
        <v>Blender</v>
      </c>
      <c r="AF111" t="str">
        <f ca="1"/>
        <v>Appliances</v>
      </c>
      <c r="AG111">
        <f ca="1"/>
        <v>1</v>
      </c>
      <c r="AH111">
        <f ca="1"/>
        <v>59.99</v>
      </c>
      <c r="AI111" t="str">
        <f ca="1"/>
        <v>Debit Card</v>
      </c>
      <c r="AJ111" t="str">
        <f ca="1"/>
        <v>Central</v>
      </c>
      <c r="AK111" t="str">
        <f ca="1"/>
        <v>Standard</v>
      </c>
      <c r="AL111">
        <f ca="1"/>
        <v>45045</v>
      </c>
      <c r="AM111">
        <f ca="1"/>
        <v>59.99</v>
      </c>
      <c r="AN111" t="str">
        <f ca="1"/>
        <v>Feb</v>
      </c>
      <c r="AO111">
        <f ca="1"/>
        <v>46078</v>
      </c>
      <c r="AP111">
        <f ca="1"/>
        <v>46078.801391898145</v>
      </c>
      <c r="AQ111">
        <f ca="1"/>
        <v>2</v>
      </c>
      <c r="AR111">
        <f ca="1"/>
        <v>45716</v>
      </c>
      <c r="AS111">
        <f ca="1"/>
        <v>1559.94</v>
      </c>
      <c r="AT111" t="str">
        <f ca="1"/>
        <v>Normal</v>
      </c>
      <c r="AU111">
        <f ca="1"/>
        <v>29</v>
      </c>
      <c r="AV111" t="str">
        <f ca="1"/>
        <v>A.E</v>
      </c>
    </row>
    <row r="112" spans="1:48" ht="15.75" customHeight="1" x14ac:dyDescent="0.3">
      <c r="A112" s="11" t="s">
        <v>247</v>
      </c>
      <c r="B112" s="15">
        <v>45550</v>
      </c>
      <c r="C112" s="11" t="s">
        <v>248</v>
      </c>
      <c r="D112" s="11" t="s">
        <v>249</v>
      </c>
      <c r="E112" s="11" t="s">
        <v>54</v>
      </c>
      <c r="F112" s="11" t="s">
        <v>55</v>
      </c>
      <c r="G112" s="11" t="s">
        <v>21</v>
      </c>
      <c r="H112" s="11">
        <v>4</v>
      </c>
      <c r="I112" s="11">
        <v>149.99</v>
      </c>
      <c r="J112" s="11" t="s">
        <v>22</v>
      </c>
      <c r="K112" s="11" t="s">
        <v>42</v>
      </c>
      <c r="L112" s="11" t="s">
        <v>24</v>
      </c>
      <c r="M112" s="14">
        <v>44909</v>
      </c>
      <c r="N112" s="11">
        <v>599.96</v>
      </c>
      <c r="O112" s="11" t="str">
        <f t="shared" si="9"/>
        <v>Sep</v>
      </c>
      <c r="P112" s="15">
        <f t="shared" ca="1" si="10"/>
        <v>46078</v>
      </c>
      <c r="Q112" s="18">
        <f t="shared" ca="1" si="11"/>
        <v>46078.801391898145</v>
      </c>
      <c r="R112" s="11">
        <f t="shared" ca="1" si="12"/>
        <v>3</v>
      </c>
      <c r="S112" s="15">
        <f t="shared" si="13"/>
        <v>45565</v>
      </c>
      <c r="T112" s="11">
        <f t="shared" si="14"/>
        <v>1749.92</v>
      </c>
      <c r="U112" s="11" t="str">
        <f t="shared" si="15"/>
        <v>Normal</v>
      </c>
      <c r="V112" s="11">
        <f t="shared" si="16"/>
        <v>16</v>
      </c>
      <c r="W112" s="6" t="str">
        <f t="shared" si="17"/>
        <v>R.B</v>
      </c>
      <c r="Z112" t="str">
        <f ca="1"/>
        <v>TRX0011</v>
      </c>
      <c r="AA112">
        <f ca="1"/>
        <v>45696</v>
      </c>
      <c r="AB112" t="str">
        <f ca="1"/>
        <v>CUST040</v>
      </c>
      <c r="AC112" t="str">
        <f ca="1"/>
        <v>Sharon Butler</v>
      </c>
      <c r="AD112" t="str">
        <f ca="1"/>
        <v>P005</v>
      </c>
      <c r="AE112" t="str">
        <f ca="1"/>
        <v>Blender</v>
      </c>
      <c r="AF112" t="str">
        <f ca="1"/>
        <v>Appliances</v>
      </c>
      <c r="AG112">
        <f ca="1"/>
        <v>5</v>
      </c>
      <c r="AH112">
        <f ca="1"/>
        <v>59.99</v>
      </c>
      <c r="AI112" t="str">
        <f ca="1"/>
        <v>Debit Card</v>
      </c>
      <c r="AJ112" t="str">
        <f ca="1"/>
        <v>Central</v>
      </c>
      <c r="AK112" t="str">
        <f ca="1"/>
        <v>Standard</v>
      </c>
      <c r="AL112">
        <f ca="1"/>
        <v>45177</v>
      </c>
      <c r="AM112">
        <f ca="1"/>
        <v>299.95</v>
      </c>
      <c r="AN112" t="str">
        <f ca="1"/>
        <v>Feb</v>
      </c>
      <c r="AO112">
        <f ca="1"/>
        <v>46078</v>
      </c>
      <c r="AP112">
        <f ca="1"/>
        <v>46078.801391898145</v>
      </c>
      <c r="AQ112">
        <f ca="1"/>
        <v>2</v>
      </c>
      <c r="AR112">
        <f ca="1"/>
        <v>45716</v>
      </c>
      <c r="AS112">
        <f ca="1"/>
        <v>5619.869999999999</v>
      </c>
      <c r="AT112" t="str">
        <f ca="1"/>
        <v>Normal</v>
      </c>
      <c r="AU112">
        <f ca="1"/>
        <v>29</v>
      </c>
      <c r="AV112" t="str">
        <f ca="1"/>
        <v>S.B</v>
      </c>
    </row>
    <row r="113" spans="1:48" ht="15.75" customHeight="1" x14ac:dyDescent="0.3">
      <c r="A113" s="11" t="s">
        <v>250</v>
      </c>
      <c r="B113" s="15">
        <v>45551</v>
      </c>
      <c r="C113" s="11" t="s">
        <v>67</v>
      </c>
      <c r="D113" s="11" t="s">
        <v>68</v>
      </c>
      <c r="E113" s="11" t="s">
        <v>19</v>
      </c>
      <c r="F113" s="11" t="s">
        <v>20</v>
      </c>
      <c r="G113" s="11" t="s">
        <v>21</v>
      </c>
      <c r="H113" s="11">
        <v>2</v>
      </c>
      <c r="I113" s="11">
        <v>249.99</v>
      </c>
      <c r="J113" s="11" t="s">
        <v>36</v>
      </c>
      <c r="K113" s="11" t="s">
        <v>37</v>
      </c>
      <c r="L113" s="11" t="s">
        <v>24</v>
      </c>
      <c r="M113" s="14">
        <v>44993</v>
      </c>
      <c r="N113" s="11">
        <v>499.98</v>
      </c>
      <c r="O113" s="11" t="str">
        <f t="shared" si="9"/>
        <v>Sep</v>
      </c>
      <c r="P113" s="15">
        <f t="shared" ca="1" si="10"/>
        <v>46078</v>
      </c>
      <c r="Q113" s="18">
        <f t="shared" ca="1" si="11"/>
        <v>46078.801391898145</v>
      </c>
      <c r="R113" s="11">
        <f t="shared" ca="1" si="12"/>
        <v>2</v>
      </c>
      <c r="S113" s="15">
        <f t="shared" si="13"/>
        <v>45565</v>
      </c>
      <c r="T113" s="11">
        <f t="shared" si="14"/>
        <v>8009.7699999999995</v>
      </c>
      <c r="U113" s="11" t="str">
        <f t="shared" si="15"/>
        <v>Normal</v>
      </c>
      <c r="V113" s="11">
        <f t="shared" si="16"/>
        <v>26</v>
      </c>
      <c r="W113" s="6" t="str">
        <f t="shared" si="17"/>
        <v>K.H</v>
      </c>
      <c r="Z113" t="str">
        <f ca="1"/>
        <v>TRX0089</v>
      </c>
      <c r="AA113">
        <f ca="1"/>
        <v>45704</v>
      </c>
      <c r="AB113" t="str">
        <f ca="1"/>
        <v>CUST021</v>
      </c>
      <c r="AC113" t="str">
        <f ca="1"/>
        <v>Kevin Scott</v>
      </c>
      <c r="AD113" t="str">
        <f ca="1"/>
        <v>P006</v>
      </c>
      <c r="AE113" t="str">
        <f ca="1"/>
        <v>Office Chair</v>
      </c>
      <c r="AF113" t="str">
        <f ca="1"/>
        <v>Furniture</v>
      </c>
      <c r="AG113">
        <f ca="1"/>
        <v>3</v>
      </c>
      <c r="AH113">
        <f ca="1"/>
        <v>199.99</v>
      </c>
      <c r="AI113" t="str">
        <f ca="1"/>
        <v>Cash</v>
      </c>
      <c r="AJ113" t="str">
        <f ca="1"/>
        <v>Central</v>
      </c>
      <c r="AK113" t="str">
        <f ca="1"/>
        <v>Basic</v>
      </c>
      <c r="AL113">
        <f ca="1"/>
        <v>44735</v>
      </c>
      <c r="AM113">
        <f ca="1"/>
        <v>599.97</v>
      </c>
      <c r="AN113" t="str">
        <f ca="1"/>
        <v>Feb</v>
      </c>
      <c r="AO113">
        <f ca="1"/>
        <v>46078</v>
      </c>
      <c r="AP113">
        <f ca="1"/>
        <v>46078.801391898145</v>
      </c>
      <c r="AQ113">
        <f ca="1"/>
        <v>3</v>
      </c>
      <c r="AR113">
        <f ca="1"/>
        <v>45716</v>
      </c>
      <c r="AS113">
        <f ca="1"/>
        <v>3259.87</v>
      </c>
      <c r="AT113" t="str">
        <f ca="1"/>
        <v>Normal</v>
      </c>
      <c r="AU113">
        <f ca="1"/>
        <v>15</v>
      </c>
      <c r="AV113" t="str">
        <f ca="1"/>
        <v>K.S</v>
      </c>
    </row>
    <row r="114" spans="1:48" ht="15.75" customHeight="1" x14ac:dyDescent="0.3">
      <c r="A114" s="11" t="s">
        <v>251</v>
      </c>
      <c r="B114" s="15">
        <v>45551</v>
      </c>
      <c r="C114" s="11" t="s">
        <v>156</v>
      </c>
      <c r="D114" s="11" t="s">
        <v>157</v>
      </c>
      <c r="E114" s="11" t="s">
        <v>128</v>
      </c>
      <c r="F114" s="11" t="s">
        <v>129</v>
      </c>
      <c r="G114" s="11" t="s">
        <v>48</v>
      </c>
      <c r="H114" s="11">
        <v>4</v>
      </c>
      <c r="I114" s="11">
        <v>199.99</v>
      </c>
      <c r="J114" s="11" t="s">
        <v>59</v>
      </c>
      <c r="K114" s="11" t="s">
        <v>65</v>
      </c>
      <c r="L114" s="11" t="s">
        <v>24</v>
      </c>
      <c r="M114" s="14">
        <v>44458</v>
      </c>
      <c r="N114" s="11">
        <v>799.96</v>
      </c>
      <c r="O114" s="11" t="str">
        <f t="shared" si="9"/>
        <v>Sep</v>
      </c>
      <c r="P114" s="15">
        <f t="shared" ca="1" si="10"/>
        <v>46078</v>
      </c>
      <c r="Q114" s="18">
        <f t="shared" ca="1" si="11"/>
        <v>46078.801391898145</v>
      </c>
      <c r="R114" s="11">
        <f t="shared" ca="1" si="12"/>
        <v>4</v>
      </c>
      <c r="S114" s="15">
        <f t="shared" si="13"/>
        <v>45565</v>
      </c>
      <c r="T114" s="11">
        <f t="shared" si="14"/>
        <v>5499.8099999999995</v>
      </c>
      <c r="U114" s="11" t="str">
        <f t="shared" si="15"/>
        <v>Normal</v>
      </c>
      <c r="V114" s="11">
        <f t="shared" si="16"/>
        <v>15</v>
      </c>
      <c r="W114" s="6" t="str">
        <f t="shared" si="17"/>
        <v>S.D</v>
      </c>
      <c r="Z114" t="str">
        <f ca="1"/>
        <v>TRX0196</v>
      </c>
      <c r="AA114">
        <f ca="1"/>
        <v>45704</v>
      </c>
      <c r="AB114" t="str">
        <f ca="1"/>
        <v>CUST023</v>
      </c>
      <c r="AC114" t="str">
        <f ca="1"/>
        <v>Paul Baker</v>
      </c>
      <c r="AD114" t="str">
        <f ca="1"/>
        <v>P010</v>
      </c>
      <c r="AE114" t="str">
        <f ca="1"/>
        <v>Keyboard</v>
      </c>
      <c r="AF114" t="str">
        <f ca="1"/>
        <v>Electronics</v>
      </c>
      <c r="AG114">
        <f ca="1"/>
        <v>2</v>
      </c>
      <c r="AH114">
        <f ca="1"/>
        <v>89.99</v>
      </c>
      <c r="AI114" t="str">
        <f ca="1"/>
        <v>PayPal</v>
      </c>
      <c r="AJ114" t="str">
        <f ca="1"/>
        <v>Central</v>
      </c>
      <c r="AK114" t="str">
        <f ca="1"/>
        <v>Basic</v>
      </c>
      <c r="AL114">
        <f ca="1"/>
        <v>45257</v>
      </c>
      <c r="AM114">
        <f ca="1"/>
        <v>179.98</v>
      </c>
      <c r="AN114" t="str">
        <f ca="1"/>
        <v>Feb</v>
      </c>
      <c r="AO114">
        <f ca="1"/>
        <v>46078</v>
      </c>
      <c r="AP114">
        <f ca="1"/>
        <v>46078.801391898145</v>
      </c>
      <c r="AQ114">
        <f ca="1"/>
        <v>2</v>
      </c>
      <c r="AR114">
        <f ca="1"/>
        <v>45716</v>
      </c>
      <c r="AS114">
        <f ca="1"/>
        <v>8309.739999999998</v>
      </c>
      <c r="AT114" t="str">
        <f ca="1"/>
        <v>Normal</v>
      </c>
      <c r="AU114">
        <f ca="1"/>
        <v>34</v>
      </c>
      <c r="AV114" t="str">
        <f ca="1"/>
        <v>P.B</v>
      </c>
    </row>
    <row r="115" spans="1:48" ht="15.75" customHeight="1" x14ac:dyDescent="0.3">
      <c r="A115" s="11" t="s">
        <v>252</v>
      </c>
      <c r="B115" s="15">
        <v>45554</v>
      </c>
      <c r="C115" s="11" t="s">
        <v>149</v>
      </c>
      <c r="D115" s="11" t="s">
        <v>150</v>
      </c>
      <c r="E115" s="11" t="s">
        <v>119</v>
      </c>
      <c r="F115" s="11" t="s">
        <v>120</v>
      </c>
      <c r="G115" s="11" t="s">
        <v>21</v>
      </c>
      <c r="H115" s="11">
        <v>5</v>
      </c>
      <c r="I115" s="11">
        <v>89.99</v>
      </c>
      <c r="J115" s="11" t="s">
        <v>28</v>
      </c>
      <c r="K115" s="11" t="s">
        <v>65</v>
      </c>
      <c r="L115" s="11" t="s">
        <v>29</v>
      </c>
      <c r="M115" s="14">
        <v>44446</v>
      </c>
      <c r="N115" s="11">
        <v>449.95</v>
      </c>
      <c r="O115" s="11" t="str">
        <f t="shared" si="9"/>
        <v>Sep</v>
      </c>
      <c r="P115" s="15">
        <f t="shared" ca="1" si="10"/>
        <v>46078</v>
      </c>
      <c r="Q115" s="18">
        <f t="shared" ca="1" si="11"/>
        <v>46078.801391898145</v>
      </c>
      <c r="R115" s="11">
        <f t="shared" ca="1" si="12"/>
        <v>4</v>
      </c>
      <c r="S115" s="15">
        <f t="shared" si="13"/>
        <v>45565</v>
      </c>
      <c r="T115" s="11">
        <f t="shared" si="14"/>
        <v>7309.7999999999993</v>
      </c>
      <c r="U115" s="11" t="str">
        <f t="shared" si="15"/>
        <v>Normal</v>
      </c>
      <c r="V115" s="11">
        <f t="shared" si="16"/>
        <v>34</v>
      </c>
      <c r="W115" s="6" t="str">
        <f t="shared" si="17"/>
        <v>D.K</v>
      </c>
      <c r="Z115" t="str">
        <f ca="1"/>
        <v>TRX0168</v>
      </c>
      <c r="AA115">
        <f ca="1"/>
        <v>45707</v>
      </c>
      <c r="AB115" t="str">
        <f ca="1"/>
        <v>CUST003</v>
      </c>
      <c r="AC115" t="str">
        <f ca="1"/>
        <v>Michael Brown</v>
      </c>
      <c r="AD115" t="str">
        <f ca="1"/>
        <v>P008</v>
      </c>
      <c r="AE115" t="str">
        <f ca="1"/>
        <v>Bookshelf</v>
      </c>
      <c r="AF115" t="str">
        <f ca="1"/>
        <v>Furniture</v>
      </c>
      <c r="AG115">
        <f ca="1"/>
        <v>3</v>
      </c>
      <c r="AH115">
        <f ca="1"/>
        <v>149.99</v>
      </c>
      <c r="AI115" t="str">
        <f ca="1"/>
        <v>PayPal</v>
      </c>
      <c r="AJ115" t="str">
        <f ca="1"/>
        <v>Central</v>
      </c>
      <c r="AK115" t="str">
        <f ca="1"/>
        <v>Standard</v>
      </c>
      <c r="AL115">
        <f ca="1"/>
        <v>44633</v>
      </c>
      <c r="AM115">
        <f ca="1"/>
        <v>449.97</v>
      </c>
      <c r="AN115" t="str">
        <f ca="1"/>
        <v>Feb</v>
      </c>
      <c r="AO115">
        <f ca="1"/>
        <v>46078</v>
      </c>
      <c r="AP115">
        <f ca="1"/>
        <v>46078.801391898145</v>
      </c>
      <c r="AQ115">
        <f ca="1"/>
        <v>3</v>
      </c>
      <c r="AR115">
        <f ca="1"/>
        <v>45716</v>
      </c>
      <c r="AS115">
        <f ca="1"/>
        <v>6169.7400000000007</v>
      </c>
      <c r="AT115" t="str">
        <f ca="1"/>
        <v>Normal</v>
      </c>
      <c r="AU115">
        <f ca="1"/>
        <v>35</v>
      </c>
      <c r="AV115" t="str">
        <f ca="1"/>
        <v>M.B</v>
      </c>
    </row>
    <row r="116" spans="1:48" ht="15.75" customHeight="1" x14ac:dyDescent="0.3">
      <c r="A116" s="11" t="s">
        <v>253</v>
      </c>
      <c r="B116" s="15">
        <v>45554</v>
      </c>
      <c r="C116" s="11" t="s">
        <v>254</v>
      </c>
      <c r="D116" s="11" t="s">
        <v>255</v>
      </c>
      <c r="E116" s="11" t="s">
        <v>54</v>
      </c>
      <c r="F116" s="11" t="s">
        <v>55</v>
      </c>
      <c r="G116" s="11" t="s">
        <v>21</v>
      </c>
      <c r="H116" s="11">
        <v>1</v>
      </c>
      <c r="I116" s="11">
        <v>149.99</v>
      </c>
      <c r="J116" s="11" t="s">
        <v>36</v>
      </c>
      <c r="K116" s="11" t="s">
        <v>65</v>
      </c>
      <c r="L116" s="11" t="s">
        <v>38</v>
      </c>
      <c r="M116" s="14">
        <v>44482</v>
      </c>
      <c r="N116" s="11">
        <v>149.99</v>
      </c>
      <c r="O116" s="11" t="str">
        <f t="shared" si="9"/>
        <v>Sep</v>
      </c>
      <c r="P116" s="15">
        <f t="shared" ca="1" si="10"/>
        <v>46078</v>
      </c>
      <c r="Q116" s="18">
        <f t="shared" ca="1" si="11"/>
        <v>46078.801391898145</v>
      </c>
      <c r="R116" s="11">
        <f t="shared" ca="1" si="12"/>
        <v>4</v>
      </c>
      <c r="S116" s="15">
        <f t="shared" si="13"/>
        <v>45565</v>
      </c>
      <c r="T116" s="11">
        <f t="shared" si="14"/>
        <v>4749.91</v>
      </c>
      <c r="U116" s="11" t="str">
        <f t="shared" si="15"/>
        <v>Normal</v>
      </c>
      <c r="V116" s="11">
        <f t="shared" si="16"/>
        <v>16</v>
      </c>
      <c r="W116" s="6" t="str">
        <f t="shared" si="17"/>
        <v>W.W</v>
      </c>
      <c r="Z116" t="str">
        <f ca="1"/>
        <v>TRX0182</v>
      </c>
      <c r="AA116">
        <f ca="1"/>
        <v>45712</v>
      </c>
      <c r="AB116" t="str">
        <f ca="1"/>
        <v>CUST031</v>
      </c>
      <c r="AC116" t="str">
        <f ca="1"/>
        <v>Steven Turner</v>
      </c>
      <c r="AD116" t="str">
        <f ca="1"/>
        <v>P006</v>
      </c>
      <c r="AE116" t="str">
        <f ca="1"/>
        <v>Office Chair</v>
      </c>
      <c r="AF116" t="str">
        <f ca="1"/>
        <v>Furniture</v>
      </c>
      <c r="AG116">
        <f ca="1"/>
        <v>2</v>
      </c>
      <c r="AH116">
        <f ca="1"/>
        <v>199.99</v>
      </c>
      <c r="AI116" t="str">
        <f ca="1"/>
        <v>Cash</v>
      </c>
      <c r="AJ116" t="str">
        <f ca="1"/>
        <v>Central</v>
      </c>
      <c r="AK116" t="str">
        <f ca="1"/>
        <v>Premium</v>
      </c>
      <c r="AL116">
        <f ca="1"/>
        <v>44573</v>
      </c>
      <c r="AM116">
        <f ca="1"/>
        <v>399.98</v>
      </c>
      <c r="AN116" t="str">
        <f ca="1"/>
        <v>Feb</v>
      </c>
      <c r="AO116">
        <f ca="1"/>
        <v>46078</v>
      </c>
      <c r="AP116">
        <f ca="1"/>
        <v>46078.801391898145</v>
      </c>
      <c r="AQ116">
        <f ca="1"/>
        <v>4</v>
      </c>
      <c r="AR116">
        <f ca="1"/>
        <v>45716</v>
      </c>
      <c r="AS116">
        <f ca="1"/>
        <v>2649.83</v>
      </c>
      <c r="AT116" t="str">
        <f ca="1"/>
        <v>Normal</v>
      </c>
      <c r="AU116">
        <f ca="1"/>
        <v>15</v>
      </c>
      <c r="AV116" t="str">
        <f ca="1"/>
        <v>S.T</v>
      </c>
    </row>
    <row r="117" spans="1:48" ht="15.75" customHeight="1" x14ac:dyDescent="0.3">
      <c r="A117" s="11" t="s">
        <v>256</v>
      </c>
      <c r="B117" s="15">
        <v>45554</v>
      </c>
      <c r="C117" s="11" t="s">
        <v>74</v>
      </c>
      <c r="D117" s="11" t="s">
        <v>75</v>
      </c>
      <c r="E117" s="11" t="s">
        <v>82</v>
      </c>
      <c r="F117" s="11" t="s">
        <v>83</v>
      </c>
      <c r="G117" s="11" t="s">
        <v>21</v>
      </c>
      <c r="H117" s="11">
        <v>4</v>
      </c>
      <c r="I117" s="11">
        <v>699.99</v>
      </c>
      <c r="J117" s="11" t="s">
        <v>36</v>
      </c>
      <c r="K117" s="11" t="s">
        <v>37</v>
      </c>
      <c r="L117" s="11" t="s">
        <v>24</v>
      </c>
      <c r="M117" s="14">
        <v>44618</v>
      </c>
      <c r="N117" s="11">
        <v>2799.96</v>
      </c>
      <c r="O117" s="11" t="str">
        <f t="shared" si="9"/>
        <v>Sep</v>
      </c>
      <c r="P117" s="15">
        <f t="shared" ca="1" si="10"/>
        <v>46078</v>
      </c>
      <c r="Q117" s="18">
        <f t="shared" ca="1" si="11"/>
        <v>46078.801391898145</v>
      </c>
      <c r="R117" s="11">
        <f t="shared" ca="1" si="12"/>
        <v>3</v>
      </c>
      <c r="S117" s="15">
        <f t="shared" si="13"/>
        <v>45565</v>
      </c>
      <c r="T117" s="11">
        <f t="shared" si="14"/>
        <v>5949.85</v>
      </c>
      <c r="U117" s="11" t="str">
        <f t="shared" si="15"/>
        <v>Normal</v>
      </c>
      <c r="V117" s="11">
        <f t="shared" si="16"/>
        <v>31</v>
      </c>
      <c r="W117" s="6" t="str">
        <f t="shared" si="17"/>
        <v>P.R</v>
      </c>
      <c r="Z117" t="str">
        <f ca="1"/>
        <v>TRX0227</v>
      </c>
      <c r="AA117">
        <f ca="1"/>
        <v>45718</v>
      </c>
      <c r="AB117" t="str">
        <f ca="1"/>
        <v>CUST017</v>
      </c>
      <c r="AC117" t="str">
        <f ca="1"/>
        <v>Charles Allen</v>
      </c>
      <c r="AD117" t="str">
        <f ca="1"/>
        <v>P008</v>
      </c>
      <c r="AE117" t="str">
        <f ca="1"/>
        <v>Bookshelf</v>
      </c>
      <c r="AF117" t="str">
        <f ca="1"/>
        <v>Furniture</v>
      </c>
      <c r="AG117">
        <f ca="1"/>
        <v>2</v>
      </c>
      <c r="AH117">
        <f ca="1"/>
        <v>149.99</v>
      </c>
      <c r="AI117" t="str">
        <f ca="1"/>
        <v>Cash</v>
      </c>
      <c r="AJ117" t="str">
        <f ca="1"/>
        <v>Central</v>
      </c>
      <c r="AK117" t="str">
        <f ca="1"/>
        <v>Basic</v>
      </c>
      <c r="AL117">
        <f ca="1"/>
        <v>45068</v>
      </c>
      <c r="AM117">
        <f ca="1"/>
        <v>299.98</v>
      </c>
      <c r="AN117" t="str">
        <f ca="1"/>
        <v>Mar</v>
      </c>
      <c r="AO117">
        <f ca="1"/>
        <v>46078</v>
      </c>
      <c r="AP117">
        <f ca="1"/>
        <v>46078.801391898145</v>
      </c>
      <c r="AQ117">
        <f ca="1"/>
        <v>2</v>
      </c>
      <c r="AR117">
        <f ca="1"/>
        <v>45747</v>
      </c>
      <c r="AS117">
        <f ca="1"/>
        <v>5089.7300000000005</v>
      </c>
      <c r="AT117" t="str">
        <f ca="1"/>
        <v>Normal</v>
      </c>
      <c r="AU117">
        <f ca="1"/>
        <v>35</v>
      </c>
      <c r="AV117" t="str">
        <f ca="1"/>
        <v>C.A</v>
      </c>
    </row>
    <row r="118" spans="1:48" ht="15.75" customHeight="1" x14ac:dyDescent="0.3">
      <c r="A118" s="11" t="s">
        <v>257</v>
      </c>
      <c r="B118" s="15">
        <v>45559</v>
      </c>
      <c r="C118" s="11" t="s">
        <v>236</v>
      </c>
      <c r="D118" s="11" t="s">
        <v>237</v>
      </c>
      <c r="E118" s="11" t="s">
        <v>63</v>
      </c>
      <c r="F118" s="11" t="s">
        <v>64</v>
      </c>
      <c r="G118" s="11" t="s">
        <v>21</v>
      </c>
      <c r="H118" s="11">
        <v>3</v>
      </c>
      <c r="I118" s="11">
        <v>899.99</v>
      </c>
      <c r="J118" s="11" t="s">
        <v>28</v>
      </c>
      <c r="K118" s="11" t="s">
        <v>42</v>
      </c>
      <c r="L118" s="11" t="s">
        <v>38</v>
      </c>
      <c r="M118" s="14">
        <v>45157</v>
      </c>
      <c r="N118" s="11">
        <v>2699.97</v>
      </c>
      <c r="O118" s="11" t="str">
        <f t="shared" si="9"/>
        <v>Sep</v>
      </c>
      <c r="P118" s="15">
        <f t="shared" ca="1" si="10"/>
        <v>46078</v>
      </c>
      <c r="Q118" s="18">
        <f t="shared" ca="1" si="11"/>
        <v>46078.801391898145</v>
      </c>
      <c r="R118" s="11">
        <f t="shared" ca="1" si="12"/>
        <v>2</v>
      </c>
      <c r="S118" s="15">
        <f t="shared" si="13"/>
        <v>45565</v>
      </c>
      <c r="T118" s="11">
        <f t="shared" si="14"/>
        <v>6349.83</v>
      </c>
      <c r="U118" s="11" t="str">
        <f t="shared" si="15"/>
        <v>Normal</v>
      </c>
      <c r="V118" s="11">
        <f t="shared" si="16"/>
        <v>24</v>
      </c>
      <c r="W118" s="6" t="str">
        <f t="shared" si="17"/>
        <v>S.P</v>
      </c>
      <c r="Z118" t="str">
        <f ca="1"/>
        <v>TRX0186</v>
      </c>
      <c r="AA118">
        <f ca="1"/>
        <v>45724</v>
      </c>
      <c r="AB118" t="str">
        <f ca="1"/>
        <v>CUST039</v>
      </c>
      <c r="AC118" t="str">
        <f ca="1"/>
        <v>Lawrence Reed</v>
      </c>
      <c r="AD118" t="str">
        <f ca="1"/>
        <v>P008</v>
      </c>
      <c r="AE118" t="str">
        <f ca="1"/>
        <v>Bookshelf</v>
      </c>
      <c r="AF118" t="str">
        <f ca="1"/>
        <v>Furniture</v>
      </c>
      <c r="AG118">
        <f ca="1"/>
        <v>2</v>
      </c>
      <c r="AH118">
        <f ca="1"/>
        <v>149.99</v>
      </c>
      <c r="AI118" t="str">
        <f ca="1"/>
        <v>PayPal</v>
      </c>
      <c r="AJ118" t="str">
        <f ca="1"/>
        <v>Central</v>
      </c>
      <c r="AK118" t="str">
        <f ca="1"/>
        <v>Premium</v>
      </c>
      <c r="AL118">
        <f ca="1"/>
        <v>44632</v>
      </c>
      <c r="AM118">
        <f ca="1"/>
        <v>299.98</v>
      </c>
      <c r="AN118" t="str">
        <f ca="1"/>
        <v>Mar</v>
      </c>
      <c r="AO118">
        <f ca="1"/>
        <v>46078</v>
      </c>
      <c r="AP118">
        <f ca="1"/>
        <v>46078.801391898145</v>
      </c>
      <c r="AQ118">
        <f ca="1"/>
        <v>3</v>
      </c>
      <c r="AR118">
        <f ca="1"/>
        <v>45747</v>
      </c>
      <c r="AS118">
        <f ca="1"/>
        <v>6989.7699999999986</v>
      </c>
      <c r="AT118" t="str">
        <f ca="1"/>
        <v>Normal</v>
      </c>
      <c r="AU118">
        <f ca="1"/>
        <v>35</v>
      </c>
      <c r="AV118" t="str">
        <f ca="1"/>
        <v>L.R</v>
      </c>
    </row>
    <row r="119" spans="1:48" ht="15.75" customHeight="1" x14ac:dyDescent="0.3">
      <c r="A119" s="11" t="s">
        <v>258</v>
      </c>
      <c r="B119" s="15">
        <v>45560</v>
      </c>
      <c r="C119" s="11" t="s">
        <v>114</v>
      </c>
      <c r="D119" s="11" t="s">
        <v>115</v>
      </c>
      <c r="E119" s="11" t="s">
        <v>46</v>
      </c>
      <c r="F119" s="11" t="s">
        <v>47</v>
      </c>
      <c r="G119" s="11" t="s">
        <v>48</v>
      </c>
      <c r="H119" s="11">
        <v>3</v>
      </c>
      <c r="I119" s="11">
        <v>149.99</v>
      </c>
      <c r="J119" s="11" t="s">
        <v>36</v>
      </c>
      <c r="K119" s="11" t="s">
        <v>65</v>
      </c>
      <c r="L119" s="11" t="s">
        <v>24</v>
      </c>
      <c r="M119" s="14">
        <v>44886</v>
      </c>
      <c r="N119" s="11">
        <v>449.97</v>
      </c>
      <c r="O119" s="11" t="str">
        <f t="shared" si="9"/>
        <v>Sep</v>
      </c>
      <c r="P119" s="15">
        <f t="shared" ca="1" si="10"/>
        <v>46078</v>
      </c>
      <c r="Q119" s="18">
        <f t="shared" ca="1" si="11"/>
        <v>46078.801391898145</v>
      </c>
      <c r="R119" s="11">
        <f t="shared" ca="1" si="12"/>
        <v>3</v>
      </c>
      <c r="S119" s="15">
        <f t="shared" si="13"/>
        <v>45565</v>
      </c>
      <c r="T119" s="11">
        <f t="shared" si="14"/>
        <v>1289.9000000000001</v>
      </c>
      <c r="U119" s="11" t="str">
        <f t="shared" si="15"/>
        <v>Normal</v>
      </c>
      <c r="V119" s="11">
        <f t="shared" si="16"/>
        <v>35</v>
      </c>
      <c r="W119" s="6" t="str">
        <f t="shared" si="17"/>
        <v>L.M</v>
      </c>
      <c r="Z119" t="str">
        <f ca="1"/>
        <v>TRX0199</v>
      </c>
      <c r="AA119">
        <f ca="1"/>
        <v>45724</v>
      </c>
      <c r="AB119" t="str">
        <f ca="1"/>
        <v>CUST017</v>
      </c>
      <c r="AC119" t="str">
        <f ca="1"/>
        <v>Charles Allen</v>
      </c>
      <c r="AD119" t="str">
        <f ca="1"/>
        <v>P008</v>
      </c>
      <c r="AE119" t="str">
        <f ca="1"/>
        <v>Bookshelf</v>
      </c>
      <c r="AF119" t="str">
        <f ca="1"/>
        <v>Furniture</v>
      </c>
      <c r="AG119">
        <f ca="1"/>
        <v>4</v>
      </c>
      <c r="AH119">
        <f ca="1"/>
        <v>149.99</v>
      </c>
      <c r="AI119" t="str">
        <f ca="1"/>
        <v>Cash</v>
      </c>
      <c r="AJ119" t="str">
        <f ca="1"/>
        <v>Central</v>
      </c>
      <c r="AK119" t="str">
        <f ca="1"/>
        <v>Standard</v>
      </c>
      <c r="AL119">
        <f ca="1"/>
        <v>45263</v>
      </c>
      <c r="AM119">
        <f ca="1"/>
        <v>599.96</v>
      </c>
      <c r="AN119" t="str">
        <f ca="1"/>
        <v>Mar</v>
      </c>
      <c r="AO119">
        <f ca="1"/>
        <v>46078</v>
      </c>
      <c r="AP119">
        <f ca="1"/>
        <v>46078.801391898145</v>
      </c>
      <c r="AQ119">
        <f ca="1"/>
        <v>2</v>
      </c>
      <c r="AR119">
        <f ca="1"/>
        <v>45747</v>
      </c>
      <c r="AS119">
        <f ca="1"/>
        <v>5089.7300000000005</v>
      </c>
      <c r="AT119" t="str">
        <f ca="1"/>
        <v>Normal</v>
      </c>
      <c r="AU119">
        <f ca="1"/>
        <v>35</v>
      </c>
      <c r="AV119" t="str">
        <f ca="1"/>
        <v>C.A</v>
      </c>
    </row>
    <row r="120" spans="1:48" ht="15.75" customHeight="1" x14ac:dyDescent="0.3">
      <c r="A120" s="11" t="s">
        <v>259</v>
      </c>
      <c r="B120" s="15">
        <v>45563</v>
      </c>
      <c r="C120" s="11" t="s">
        <v>101</v>
      </c>
      <c r="D120" s="11" t="s">
        <v>102</v>
      </c>
      <c r="E120" s="11" t="s">
        <v>107</v>
      </c>
      <c r="F120" s="11" t="s">
        <v>108</v>
      </c>
      <c r="G120" s="11" t="s">
        <v>48</v>
      </c>
      <c r="H120" s="11">
        <v>2</v>
      </c>
      <c r="I120" s="11">
        <v>299.99</v>
      </c>
      <c r="J120" s="11" t="s">
        <v>59</v>
      </c>
      <c r="K120" s="11" t="s">
        <v>23</v>
      </c>
      <c r="L120" s="11" t="s">
        <v>24</v>
      </c>
      <c r="M120" s="14">
        <v>44569</v>
      </c>
      <c r="N120" s="11">
        <v>599.98</v>
      </c>
      <c r="O120" s="11" t="str">
        <f t="shared" si="9"/>
        <v>Sep</v>
      </c>
      <c r="P120" s="15">
        <f t="shared" ca="1" si="10"/>
        <v>46078</v>
      </c>
      <c r="Q120" s="18">
        <f t="shared" ca="1" si="11"/>
        <v>46078.801391898145</v>
      </c>
      <c r="R120" s="11">
        <f t="shared" ca="1" si="12"/>
        <v>4</v>
      </c>
      <c r="S120" s="15">
        <f t="shared" si="13"/>
        <v>45565</v>
      </c>
      <c r="T120" s="11">
        <f t="shared" si="14"/>
        <v>9799.73</v>
      </c>
      <c r="U120" s="11" t="str">
        <f t="shared" si="15"/>
        <v>Normal</v>
      </c>
      <c r="V120" s="11">
        <f t="shared" si="16"/>
        <v>26</v>
      </c>
      <c r="W120" s="6" t="str">
        <f t="shared" si="17"/>
        <v>P.M</v>
      </c>
      <c r="Z120" t="str">
        <f ca="1"/>
        <v>TRX0152</v>
      </c>
      <c r="AA120">
        <f ca="1"/>
        <v>45743</v>
      </c>
      <c r="AB120" t="str">
        <f ca="1"/>
        <v>CUST044</v>
      </c>
      <c r="AC120" t="str">
        <f ca="1"/>
        <v>Cynthia Price</v>
      </c>
      <c r="AD120" t="str">
        <f ca="1"/>
        <v>P004</v>
      </c>
      <c r="AE120" t="str">
        <f ca="1"/>
        <v>Coffee Maker</v>
      </c>
      <c r="AF120" t="str">
        <f ca="1"/>
        <v>Appliances</v>
      </c>
      <c r="AG120">
        <f ca="1"/>
        <v>4</v>
      </c>
      <c r="AH120">
        <f ca="1"/>
        <v>79.989999999999995</v>
      </c>
      <c r="AI120" t="str">
        <f ca="1"/>
        <v>Credit Card</v>
      </c>
      <c r="AJ120" t="str">
        <f ca="1"/>
        <v>Central</v>
      </c>
      <c r="AK120" t="str">
        <f ca="1"/>
        <v>Basic</v>
      </c>
      <c r="AL120">
        <f ca="1"/>
        <v>45288</v>
      </c>
      <c r="AM120">
        <f ca="1"/>
        <v>319.95999999999998</v>
      </c>
      <c r="AN120" t="str">
        <f ca="1"/>
        <v>Mar</v>
      </c>
      <c r="AO120">
        <f ca="1"/>
        <v>46078</v>
      </c>
      <c r="AP120">
        <f ca="1"/>
        <v>46078.801391898145</v>
      </c>
      <c r="AQ120">
        <f ca="1"/>
        <v>2</v>
      </c>
      <c r="AR120">
        <f ca="1"/>
        <v>45747</v>
      </c>
      <c r="AS120">
        <f ca="1"/>
        <v>3769.8300000000004</v>
      </c>
      <c r="AT120" t="str">
        <f ca="1"/>
        <v>Normal</v>
      </c>
      <c r="AU120">
        <f ca="1"/>
        <v>14</v>
      </c>
      <c r="AV120" t="str">
        <f ca="1"/>
        <v>C.P</v>
      </c>
    </row>
    <row r="121" spans="1:48" ht="15.75" customHeight="1" x14ac:dyDescent="0.3">
      <c r="A121" s="11" t="s">
        <v>260</v>
      </c>
      <c r="B121" s="15">
        <v>45564</v>
      </c>
      <c r="C121" s="11" t="s">
        <v>261</v>
      </c>
      <c r="D121" s="11" t="s">
        <v>262</v>
      </c>
      <c r="E121" s="11" t="s">
        <v>128</v>
      </c>
      <c r="F121" s="11" t="s">
        <v>129</v>
      </c>
      <c r="G121" s="11" t="s">
        <v>48</v>
      </c>
      <c r="H121" s="11">
        <v>1</v>
      </c>
      <c r="I121" s="11">
        <v>199.99</v>
      </c>
      <c r="J121" s="11" t="s">
        <v>59</v>
      </c>
      <c r="K121" s="11" t="s">
        <v>65</v>
      </c>
      <c r="L121" s="11" t="s">
        <v>38</v>
      </c>
      <c r="M121" s="14">
        <v>44953</v>
      </c>
      <c r="N121" s="11">
        <v>199.99</v>
      </c>
      <c r="O121" s="11" t="str">
        <f t="shared" si="9"/>
        <v>Sep</v>
      </c>
      <c r="P121" s="15">
        <f t="shared" ca="1" si="10"/>
        <v>46078</v>
      </c>
      <c r="Q121" s="18">
        <f t="shared" ca="1" si="11"/>
        <v>46078.801391898145</v>
      </c>
      <c r="R121" s="11">
        <f t="shared" ca="1" si="12"/>
        <v>3</v>
      </c>
      <c r="S121" s="15">
        <f t="shared" si="13"/>
        <v>45565</v>
      </c>
      <c r="T121" s="11">
        <f t="shared" si="14"/>
        <v>739.93000000000006</v>
      </c>
      <c r="U121" s="11" t="str">
        <f t="shared" si="15"/>
        <v>Normal</v>
      </c>
      <c r="V121" s="11">
        <f t="shared" si="16"/>
        <v>15</v>
      </c>
      <c r="W121" s="6" t="str">
        <f t="shared" si="17"/>
        <v>R.L</v>
      </c>
      <c r="Z121" t="str">
        <f ca="1"/>
        <v>TRX0197</v>
      </c>
      <c r="AA121">
        <f ca="1"/>
        <v>45746</v>
      </c>
      <c r="AB121" t="str">
        <f ca="1"/>
        <v>CUST048</v>
      </c>
      <c r="AC121" t="str">
        <f ca="1"/>
        <v>Virginia Sanders</v>
      </c>
      <c r="AD121" t="str">
        <f ca="1"/>
        <v>P008</v>
      </c>
      <c r="AE121" t="str">
        <f ca="1"/>
        <v>Bookshelf</v>
      </c>
      <c r="AF121" t="str">
        <f ca="1"/>
        <v>Furniture</v>
      </c>
      <c r="AG121">
        <f ca="1"/>
        <v>3</v>
      </c>
      <c r="AH121">
        <f ca="1"/>
        <v>149.99</v>
      </c>
      <c r="AI121" t="str">
        <f ca="1"/>
        <v>PayPal</v>
      </c>
      <c r="AJ121" t="str">
        <f ca="1"/>
        <v>Central</v>
      </c>
      <c r="AK121" t="str">
        <f ca="1"/>
        <v>Standard</v>
      </c>
      <c r="AL121">
        <f ca="1"/>
        <v>45171</v>
      </c>
      <c r="AM121">
        <f ca="1"/>
        <v>449.97</v>
      </c>
      <c r="AN121" t="str">
        <f ca="1"/>
        <v>Mar</v>
      </c>
      <c r="AO121">
        <f ca="1"/>
        <v>46078</v>
      </c>
      <c r="AP121">
        <f ca="1"/>
        <v>46078.801391898145</v>
      </c>
      <c r="AQ121">
        <f ca="1"/>
        <v>2</v>
      </c>
      <c r="AR121">
        <f ca="1"/>
        <v>45747</v>
      </c>
      <c r="AS121">
        <f ca="1"/>
        <v>4789.7900000000009</v>
      </c>
      <c r="AT121" t="str">
        <f ca="1"/>
        <v>Normal</v>
      </c>
      <c r="AU121">
        <f ca="1"/>
        <v>35</v>
      </c>
      <c r="AV121" t="str">
        <f ca="1"/>
        <v>V.S</v>
      </c>
    </row>
    <row r="122" spans="1:48" ht="15.75" customHeight="1" x14ac:dyDescent="0.3">
      <c r="A122" s="11" t="s">
        <v>263</v>
      </c>
      <c r="B122" s="15">
        <v>45566</v>
      </c>
      <c r="C122" s="11" t="s">
        <v>44</v>
      </c>
      <c r="D122" s="11" t="s">
        <v>45</v>
      </c>
      <c r="E122" s="11" t="s">
        <v>107</v>
      </c>
      <c r="F122" s="11" t="s">
        <v>108</v>
      </c>
      <c r="G122" s="11" t="s">
        <v>48</v>
      </c>
      <c r="H122" s="11">
        <v>4</v>
      </c>
      <c r="I122" s="11">
        <v>299.99</v>
      </c>
      <c r="J122" s="11" t="s">
        <v>22</v>
      </c>
      <c r="K122" s="11" t="s">
        <v>23</v>
      </c>
      <c r="L122" s="11" t="s">
        <v>29</v>
      </c>
      <c r="M122" s="14">
        <v>44460</v>
      </c>
      <c r="N122" s="11">
        <v>1199.96</v>
      </c>
      <c r="O122" s="11" t="str">
        <f t="shared" si="9"/>
        <v>Oct</v>
      </c>
      <c r="P122" s="15">
        <f t="shared" ca="1" si="10"/>
        <v>46078</v>
      </c>
      <c r="Q122" s="18">
        <f t="shared" ca="1" si="11"/>
        <v>46078.801391898145</v>
      </c>
      <c r="R122" s="11">
        <f t="shared" ca="1" si="12"/>
        <v>4</v>
      </c>
      <c r="S122" s="15">
        <f t="shared" si="13"/>
        <v>45596</v>
      </c>
      <c r="T122" s="11">
        <f t="shared" si="14"/>
        <v>6169.7400000000007</v>
      </c>
      <c r="U122" s="11" t="str">
        <f t="shared" si="15"/>
        <v>Normal</v>
      </c>
      <c r="V122" s="11">
        <f t="shared" si="16"/>
        <v>26</v>
      </c>
      <c r="W122" s="6" t="str">
        <f t="shared" si="17"/>
        <v>M.B</v>
      </c>
      <c r="Z122" t="str">
        <f ca="1"/>
        <v>TRX0144</v>
      </c>
      <c r="AA122">
        <f ca="1"/>
        <v>45749</v>
      </c>
      <c r="AB122" t="str">
        <f ca="1"/>
        <v>CUST029</v>
      </c>
      <c r="AC122" t="str">
        <f ca="1"/>
        <v>Edward Mitchell</v>
      </c>
      <c r="AD122" t="str">
        <f ca="1"/>
        <v>P001</v>
      </c>
      <c r="AE122" t="str">
        <f ca="1"/>
        <v>Laptop</v>
      </c>
      <c r="AF122" t="str">
        <f ca="1"/>
        <v>Electronics</v>
      </c>
      <c r="AG122">
        <f ca="1"/>
        <v>3</v>
      </c>
      <c r="AH122">
        <f ca="1"/>
        <v>899.99</v>
      </c>
      <c r="AI122" t="str">
        <f ca="1"/>
        <v>Cash</v>
      </c>
      <c r="AJ122" t="str">
        <f ca="1"/>
        <v>Central</v>
      </c>
      <c r="AK122" t="str">
        <f ca="1"/>
        <v>Standard</v>
      </c>
      <c r="AL122">
        <f ca="1"/>
        <v>44953</v>
      </c>
      <c r="AM122">
        <f ca="1"/>
        <v>2699.97</v>
      </c>
      <c r="AN122" t="str">
        <f ca="1"/>
        <v>Apr</v>
      </c>
      <c r="AO122">
        <f ca="1"/>
        <v>46078</v>
      </c>
      <c r="AP122">
        <f ca="1"/>
        <v>46078.801391898145</v>
      </c>
      <c r="AQ122">
        <f ca="1"/>
        <v>3</v>
      </c>
      <c r="AR122">
        <f ca="1"/>
        <v>45777</v>
      </c>
      <c r="AS122">
        <f ca="1"/>
        <v>11919.769999999999</v>
      </c>
      <c r="AT122" t="str">
        <f ca="1"/>
        <v>High</v>
      </c>
      <c r="AU122">
        <f ca="1"/>
        <v>24</v>
      </c>
      <c r="AV122" t="str">
        <f ca="1"/>
        <v>E.M</v>
      </c>
    </row>
    <row r="123" spans="1:48" ht="15.75" customHeight="1" x14ac:dyDescent="0.3">
      <c r="A123" s="11" t="s">
        <v>264</v>
      </c>
      <c r="B123" s="15">
        <v>45572</v>
      </c>
      <c r="C123" s="11" t="s">
        <v>91</v>
      </c>
      <c r="D123" s="11" t="s">
        <v>92</v>
      </c>
      <c r="E123" s="11" t="s">
        <v>33</v>
      </c>
      <c r="F123" s="11" t="s">
        <v>34</v>
      </c>
      <c r="G123" s="11" t="s">
        <v>35</v>
      </c>
      <c r="H123" s="11">
        <v>2</v>
      </c>
      <c r="I123" s="11">
        <v>59.99</v>
      </c>
      <c r="J123" s="11" t="s">
        <v>28</v>
      </c>
      <c r="K123" s="11" t="s">
        <v>23</v>
      </c>
      <c r="L123" s="11" t="s">
        <v>24</v>
      </c>
      <c r="M123" s="14">
        <v>44579</v>
      </c>
      <c r="N123" s="11">
        <v>119.98</v>
      </c>
      <c r="O123" s="11" t="str">
        <f t="shared" si="9"/>
        <v>Oct</v>
      </c>
      <c r="P123" s="15">
        <f t="shared" ca="1" si="10"/>
        <v>46078</v>
      </c>
      <c r="Q123" s="18">
        <f t="shared" ca="1" si="11"/>
        <v>46078.801391898145</v>
      </c>
      <c r="R123" s="11">
        <f t="shared" ca="1" si="12"/>
        <v>4</v>
      </c>
      <c r="S123" s="15">
        <f t="shared" si="13"/>
        <v>45596</v>
      </c>
      <c r="T123" s="11">
        <f t="shared" si="14"/>
        <v>1909.93</v>
      </c>
      <c r="U123" s="11" t="str">
        <f t="shared" si="15"/>
        <v>Normal</v>
      </c>
      <c r="V123" s="11">
        <f t="shared" si="16"/>
        <v>29</v>
      </c>
      <c r="W123" s="6" t="str">
        <f t="shared" si="17"/>
        <v>M.G</v>
      </c>
    </row>
    <row r="124" spans="1:48" ht="15.75" customHeight="1" x14ac:dyDescent="0.3">
      <c r="A124" s="11" t="s">
        <v>265</v>
      </c>
      <c r="B124" s="15">
        <v>45572</v>
      </c>
      <c r="C124" s="11" t="s">
        <v>236</v>
      </c>
      <c r="D124" s="11" t="s">
        <v>237</v>
      </c>
      <c r="E124" s="11" t="s">
        <v>54</v>
      </c>
      <c r="F124" s="11" t="s">
        <v>55</v>
      </c>
      <c r="G124" s="11" t="s">
        <v>21</v>
      </c>
      <c r="H124" s="11">
        <v>4</v>
      </c>
      <c r="I124" s="11">
        <v>149.99</v>
      </c>
      <c r="J124" s="11" t="s">
        <v>28</v>
      </c>
      <c r="K124" s="11" t="s">
        <v>42</v>
      </c>
      <c r="L124" s="11" t="s">
        <v>29</v>
      </c>
      <c r="M124" s="14">
        <v>45076</v>
      </c>
      <c r="N124" s="11">
        <v>599.96</v>
      </c>
      <c r="O124" s="11" t="str">
        <f t="shared" si="9"/>
        <v>Oct</v>
      </c>
      <c r="P124" s="15">
        <f t="shared" ca="1" si="10"/>
        <v>46078</v>
      </c>
      <c r="Q124" s="18">
        <f t="shared" ca="1" si="11"/>
        <v>46078.801391898145</v>
      </c>
      <c r="R124" s="11">
        <f t="shared" ca="1" si="12"/>
        <v>2</v>
      </c>
      <c r="S124" s="15">
        <f t="shared" si="13"/>
        <v>45596</v>
      </c>
      <c r="T124" s="11">
        <f t="shared" si="14"/>
        <v>6349.83</v>
      </c>
      <c r="U124" s="11" t="str">
        <f t="shared" si="15"/>
        <v>Normal</v>
      </c>
      <c r="V124" s="11">
        <f t="shared" si="16"/>
        <v>16</v>
      </c>
      <c r="W124" s="6" t="str">
        <f t="shared" si="17"/>
        <v>S.P</v>
      </c>
    </row>
    <row r="125" spans="1:48" ht="15.75" customHeight="1" x14ac:dyDescent="0.3">
      <c r="A125" s="11" t="s">
        <v>266</v>
      </c>
      <c r="B125" s="15">
        <v>45573</v>
      </c>
      <c r="C125" s="11" t="s">
        <v>213</v>
      </c>
      <c r="D125" s="11" t="s">
        <v>214</v>
      </c>
      <c r="E125" s="11" t="s">
        <v>82</v>
      </c>
      <c r="F125" s="11" t="s">
        <v>83</v>
      </c>
      <c r="G125" s="11" t="s">
        <v>21</v>
      </c>
      <c r="H125" s="11">
        <v>2</v>
      </c>
      <c r="I125" s="11">
        <v>699.99</v>
      </c>
      <c r="J125" s="11" t="s">
        <v>59</v>
      </c>
      <c r="K125" s="11" t="s">
        <v>65</v>
      </c>
      <c r="L125" s="11" t="s">
        <v>29</v>
      </c>
      <c r="M125" s="14">
        <v>45274</v>
      </c>
      <c r="N125" s="11">
        <v>1399.98</v>
      </c>
      <c r="O125" s="11" t="str">
        <f t="shared" si="9"/>
        <v>Oct</v>
      </c>
      <c r="P125" s="15">
        <f t="shared" ca="1" si="10"/>
        <v>46078</v>
      </c>
      <c r="Q125" s="18">
        <f t="shared" ca="1" si="11"/>
        <v>46078.801391898145</v>
      </c>
      <c r="R125" s="11">
        <f t="shared" ca="1" si="12"/>
        <v>2</v>
      </c>
      <c r="S125" s="15">
        <f t="shared" si="13"/>
        <v>45596</v>
      </c>
      <c r="T125" s="11">
        <f t="shared" si="14"/>
        <v>3649.8599999999997</v>
      </c>
      <c r="U125" s="11" t="str">
        <f t="shared" si="15"/>
        <v>Normal</v>
      </c>
      <c r="V125" s="11">
        <f t="shared" si="16"/>
        <v>31</v>
      </c>
      <c r="W125" s="6" t="str">
        <f t="shared" si="17"/>
        <v>E.H</v>
      </c>
    </row>
    <row r="126" spans="1:48" ht="15.75" customHeight="1" x14ac:dyDescent="0.3">
      <c r="A126" s="11" t="s">
        <v>267</v>
      </c>
      <c r="B126" s="15">
        <v>45573</v>
      </c>
      <c r="C126" s="11" t="s">
        <v>233</v>
      </c>
      <c r="D126" s="11" t="s">
        <v>234</v>
      </c>
      <c r="E126" s="11" t="s">
        <v>46</v>
      </c>
      <c r="F126" s="11" t="s">
        <v>47</v>
      </c>
      <c r="G126" s="11" t="s">
        <v>48</v>
      </c>
      <c r="H126" s="11">
        <v>3</v>
      </c>
      <c r="I126" s="11">
        <v>149.99</v>
      </c>
      <c r="J126" s="11" t="s">
        <v>28</v>
      </c>
      <c r="K126" s="11" t="s">
        <v>37</v>
      </c>
      <c r="L126" s="11" t="s">
        <v>38</v>
      </c>
      <c r="M126" s="14">
        <v>44940</v>
      </c>
      <c r="N126" s="11">
        <v>449.97</v>
      </c>
      <c r="O126" s="11" t="str">
        <f t="shared" si="9"/>
        <v>Oct</v>
      </c>
      <c r="P126" s="15">
        <f t="shared" ca="1" si="10"/>
        <v>46078</v>
      </c>
      <c r="Q126" s="18">
        <f t="shared" ca="1" si="11"/>
        <v>46078.801391898145</v>
      </c>
      <c r="R126" s="11">
        <f t="shared" ca="1" si="12"/>
        <v>3</v>
      </c>
      <c r="S126" s="15">
        <f t="shared" si="13"/>
        <v>45596</v>
      </c>
      <c r="T126" s="11">
        <f t="shared" si="14"/>
        <v>1149.93</v>
      </c>
      <c r="U126" s="11" t="str">
        <f t="shared" si="15"/>
        <v>Normal</v>
      </c>
      <c r="V126" s="11">
        <f t="shared" si="16"/>
        <v>35</v>
      </c>
      <c r="W126" s="6" t="str">
        <f t="shared" si="17"/>
        <v>C.E</v>
      </c>
    </row>
    <row r="127" spans="1:48" ht="15.75" customHeight="1" x14ac:dyDescent="0.3">
      <c r="A127" s="11" t="s">
        <v>268</v>
      </c>
      <c r="B127" s="15">
        <v>45576</v>
      </c>
      <c r="C127" s="11" t="s">
        <v>149</v>
      </c>
      <c r="D127" s="11" t="s">
        <v>150</v>
      </c>
      <c r="E127" s="11" t="s">
        <v>107</v>
      </c>
      <c r="F127" s="11" t="s">
        <v>108</v>
      </c>
      <c r="G127" s="11" t="s">
        <v>48</v>
      </c>
      <c r="H127" s="11">
        <v>3</v>
      </c>
      <c r="I127" s="11">
        <v>299.99</v>
      </c>
      <c r="J127" s="11" t="s">
        <v>28</v>
      </c>
      <c r="K127" s="11" t="s">
        <v>23</v>
      </c>
      <c r="L127" s="11" t="s">
        <v>38</v>
      </c>
      <c r="M127" s="14">
        <v>45174</v>
      </c>
      <c r="N127" s="11">
        <v>899.97</v>
      </c>
      <c r="O127" s="11" t="str">
        <f t="shared" si="9"/>
        <v>Oct</v>
      </c>
      <c r="P127" s="15">
        <f t="shared" ca="1" si="10"/>
        <v>46078</v>
      </c>
      <c r="Q127" s="18">
        <f t="shared" ca="1" si="11"/>
        <v>46078.801391898145</v>
      </c>
      <c r="R127" s="11">
        <f t="shared" ca="1" si="12"/>
        <v>2</v>
      </c>
      <c r="S127" s="15">
        <f t="shared" si="13"/>
        <v>45596</v>
      </c>
      <c r="T127" s="11">
        <f t="shared" si="14"/>
        <v>7309.7999999999993</v>
      </c>
      <c r="U127" s="11" t="str">
        <f t="shared" si="15"/>
        <v>Normal</v>
      </c>
      <c r="V127" s="11">
        <f t="shared" si="16"/>
        <v>26</v>
      </c>
      <c r="W127" s="6" t="str">
        <f t="shared" si="17"/>
        <v>D.K</v>
      </c>
    </row>
    <row r="128" spans="1:48" ht="15.75" customHeight="1" x14ac:dyDescent="0.3">
      <c r="A128" s="11" t="s">
        <v>269</v>
      </c>
      <c r="B128" s="15">
        <v>45579</v>
      </c>
      <c r="C128" s="11" t="s">
        <v>85</v>
      </c>
      <c r="D128" s="11" t="s">
        <v>86</v>
      </c>
      <c r="E128" s="11" t="s">
        <v>63</v>
      </c>
      <c r="F128" s="11" t="s">
        <v>64</v>
      </c>
      <c r="G128" s="11" t="s">
        <v>21</v>
      </c>
      <c r="H128" s="11">
        <v>3</v>
      </c>
      <c r="I128" s="11">
        <v>899.99</v>
      </c>
      <c r="J128" s="11" t="s">
        <v>36</v>
      </c>
      <c r="K128" s="11" t="s">
        <v>52</v>
      </c>
      <c r="L128" s="11" t="s">
        <v>24</v>
      </c>
      <c r="M128" s="14">
        <v>45215</v>
      </c>
      <c r="N128" s="11">
        <v>2699.97</v>
      </c>
      <c r="O128" s="11" t="str">
        <f t="shared" si="9"/>
        <v>Oct</v>
      </c>
      <c r="P128" s="15">
        <f t="shared" ca="1" si="10"/>
        <v>46078</v>
      </c>
      <c r="Q128" s="18">
        <f t="shared" ca="1" si="11"/>
        <v>46078.801391898145</v>
      </c>
      <c r="R128" s="11">
        <f t="shared" ca="1" si="12"/>
        <v>2</v>
      </c>
      <c r="S128" s="15">
        <f t="shared" si="13"/>
        <v>45596</v>
      </c>
      <c r="T128" s="11">
        <f t="shared" si="14"/>
        <v>3779.93</v>
      </c>
      <c r="U128" s="11" t="str">
        <f t="shared" si="15"/>
        <v>Normal</v>
      </c>
      <c r="V128" s="11">
        <f t="shared" si="16"/>
        <v>24</v>
      </c>
      <c r="W128" s="6" t="str">
        <f t="shared" si="17"/>
        <v>G.A</v>
      </c>
    </row>
    <row r="129" spans="1:23" ht="15.75" customHeight="1" x14ac:dyDescent="0.3">
      <c r="A129" s="11" t="s">
        <v>270</v>
      </c>
      <c r="B129" s="15">
        <v>45581</v>
      </c>
      <c r="C129" s="11" t="s">
        <v>98</v>
      </c>
      <c r="D129" s="11" t="s">
        <v>99</v>
      </c>
      <c r="E129" s="11" t="s">
        <v>82</v>
      </c>
      <c r="F129" s="11" t="s">
        <v>83</v>
      </c>
      <c r="G129" s="11" t="s">
        <v>21</v>
      </c>
      <c r="H129" s="11">
        <v>5</v>
      </c>
      <c r="I129" s="11">
        <v>699.99</v>
      </c>
      <c r="J129" s="11" t="s">
        <v>22</v>
      </c>
      <c r="K129" s="11" t="s">
        <v>65</v>
      </c>
      <c r="L129" s="11" t="s">
        <v>38</v>
      </c>
      <c r="M129" s="14">
        <v>45008</v>
      </c>
      <c r="N129" s="11">
        <v>3499.95</v>
      </c>
      <c r="O129" s="11" t="str">
        <f t="shared" si="9"/>
        <v>Oct</v>
      </c>
      <c r="P129" s="15">
        <f t="shared" ca="1" si="10"/>
        <v>46078</v>
      </c>
      <c r="Q129" s="18">
        <f t="shared" ca="1" si="11"/>
        <v>46078.801391898145</v>
      </c>
      <c r="R129" s="11">
        <f t="shared" ca="1" si="12"/>
        <v>2</v>
      </c>
      <c r="S129" s="15">
        <f t="shared" si="13"/>
        <v>45596</v>
      </c>
      <c r="T129" s="11">
        <f t="shared" si="14"/>
        <v>10649.8</v>
      </c>
      <c r="U129" s="11" t="str">
        <f t="shared" si="15"/>
        <v>High</v>
      </c>
      <c r="V129" s="11">
        <f t="shared" si="16"/>
        <v>31</v>
      </c>
      <c r="W129" s="6" t="str">
        <f t="shared" si="17"/>
        <v>B.Y</v>
      </c>
    </row>
    <row r="130" spans="1:23" ht="15.75" customHeight="1" x14ac:dyDescent="0.3">
      <c r="A130" s="11" t="s">
        <v>271</v>
      </c>
      <c r="B130" s="15">
        <v>45581</v>
      </c>
      <c r="C130" s="11" t="s">
        <v>173</v>
      </c>
      <c r="D130" s="11" t="s">
        <v>174</v>
      </c>
      <c r="E130" s="11" t="s">
        <v>82</v>
      </c>
      <c r="F130" s="11" t="s">
        <v>83</v>
      </c>
      <c r="G130" s="11" t="s">
        <v>21</v>
      </c>
      <c r="H130" s="11">
        <v>4</v>
      </c>
      <c r="I130" s="11">
        <v>699.99</v>
      </c>
      <c r="J130" s="11" t="s">
        <v>28</v>
      </c>
      <c r="K130" s="11" t="s">
        <v>23</v>
      </c>
      <c r="L130" s="11" t="s">
        <v>24</v>
      </c>
      <c r="M130" s="14">
        <v>45385</v>
      </c>
      <c r="N130" s="11">
        <v>2799.96</v>
      </c>
      <c r="O130" s="11" t="str">
        <f t="shared" ref="O130:O193" si="18">TEXT(B130,"MMM")</f>
        <v>Oct</v>
      </c>
      <c r="P130" s="15">
        <f t="shared" ref="P130:P193" ca="1" si="19">TODAY()</f>
        <v>46078</v>
      </c>
      <c r="Q130" s="18">
        <f t="shared" ref="Q130:Q193" ca="1" si="20">NOW()</f>
        <v>46078.801391898145</v>
      </c>
      <c r="R130" s="11">
        <f t="shared" ref="R130:R193" ca="1" si="21">DATEDIF(M130,TODAY(),"Y")</f>
        <v>1</v>
      </c>
      <c r="S130" s="15">
        <f t="shared" ref="S130:S193" si="22">EOMONTH(B130,0)</f>
        <v>45596</v>
      </c>
      <c r="T130" s="11">
        <f t="shared" ref="T130:T193" si="23">SUMIF(D:D,D130,N:N)</f>
        <v>3669.8500000000004</v>
      </c>
      <c r="U130" s="11" t="str">
        <f t="shared" ref="U130:U193" si="24">IF(T130&gt;10000,"High","Normal")</f>
        <v>Normal</v>
      </c>
      <c r="V130" s="11">
        <f t="shared" ref="V130:V193" si="25">COUNTIF(F:F,F130)</f>
        <v>31</v>
      </c>
      <c r="W130" s="6" t="str">
        <f t="shared" ref="W130:W193" si="26">LEFT(D130,1)&amp;"."&amp;MID(D130,FIND(" ",D130)+1,1)</f>
        <v>R.R</v>
      </c>
    </row>
    <row r="131" spans="1:23" ht="15.75" customHeight="1" x14ac:dyDescent="0.3">
      <c r="A131" s="11" t="s">
        <v>272</v>
      </c>
      <c r="B131" s="15">
        <v>45581</v>
      </c>
      <c r="C131" s="11" t="s">
        <v>152</v>
      </c>
      <c r="D131" s="11" t="s">
        <v>153</v>
      </c>
      <c r="E131" s="11" t="s">
        <v>63</v>
      </c>
      <c r="F131" s="11" t="s">
        <v>64</v>
      </c>
      <c r="G131" s="11" t="s">
        <v>21</v>
      </c>
      <c r="H131" s="11">
        <v>1</v>
      </c>
      <c r="I131" s="11">
        <v>899.99</v>
      </c>
      <c r="J131" s="11" t="s">
        <v>28</v>
      </c>
      <c r="K131" s="11" t="s">
        <v>65</v>
      </c>
      <c r="L131" s="11" t="s">
        <v>38</v>
      </c>
      <c r="M131" s="14">
        <v>45369</v>
      </c>
      <c r="N131" s="11">
        <v>899.99</v>
      </c>
      <c r="O131" s="11" t="str">
        <f t="shared" si="18"/>
        <v>Oct</v>
      </c>
      <c r="P131" s="15">
        <f t="shared" ca="1" si="19"/>
        <v>46078</v>
      </c>
      <c r="Q131" s="18">
        <f t="shared" ca="1" si="20"/>
        <v>46078.801391898145</v>
      </c>
      <c r="R131" s="11">
        <f t="shared" ca="1" si="21"/>
        <v>1</v>
      </c>
      <c r="S131" s="15">
        <f t="shared" si="22"/>
        <v>45596</v>
      </c>
      <c r="T131" s="11">
        <f t="shared" si="23"/>
        <v>5619.869999999999</v>
      </c>
      <c r="U131" s="11" t="str">
        <f t="shared" si="24"/>
        <v>Normal</v>
      </c>
      <c r="V131" s="11">
        <f t="shared" si="25"/>
        <v>24</v>
      </c>
      <c r="W131" s="6" t="str">
        <f t="shared" si="26"/>
        <v>S.B</v>
      </c>
    </row>
    <row r="132" spans="1:23" ht="15.75" customHeight="1" x14ac:dyDescent="0.3">
      <c r="A132" s="11" t="s">
        <v>273</v>
      </c>
      <c r="B132" s="15">
        <v>45583</v>
      </c>
      <c r="C132" s="11" t="s">
        <v>228</v>
      </c>
      <c r="D132" s="11" t="s">
        <v>229</v>
      </c>
      <c r="E132" s="11" t="s">
        <v>54</v>
      </c>
      <c r="F132" s="11" t="s">
        <v>55</v>
      </c>
      <c r="G132" s="11" t="s">
        <v>21</v>
      </c>
      <c r="H132" s="11">
        <v>2</v>
      </c>
      <c r="I132" s="11">
        <v>149.99</v>
      </c>
      <c r="J132" s="11" t="s">
        <v>28</v>
      </c>
      <c r="K132" s="11" t="s">
        <v>52</v>
      </c>
      <c r="L132" s="11" t="s">
        <v>24</v>
      </c>
      <c r="M132" s="14">
        <v>44916</v>
      </c>
      <c r="N132" s="11">
        <v>299.98</v>
      </c>
      <c r="O132" s="11" t="str">
        <f t="shared" si="18"/>
        <v>Oct</v>
      </c>
      <c r="P132" s="15">
        <f t="shared" ca="1" si="19"/>
        <v>46078</v>
      </c>
      <c r="Q132" s="18">
        <f t="shared" ca="1" si="20"/>
        <v>46078.801391898145</v>
      </c>
      <c r="R132" s="11">
        <f t="shared" ca="1" si="21"/>
        <v>3</v>
      </c>
      <c r="S132" s="15">
        <f t="shared" si="22"/>
        <v>45596</v>
      </c>
      <c r="T132" s="11">
        <f t="shared" si="23"/>
        <v>6989.7699999999986</v>
      </c>
      <c r="U132" s="11" t="str">
        <f t="shared" si="24"/>
        <v>Normal</v>
      </c>
      <c r="V132" s="11">
        <f t="shared" si="25"/>
        <v>16</v>
      </c>
      <c r="W132" s="6" t="str">
        <f t="shared" si="26"/>
        <v>L.R</v>
      </c>
    </row>
    <row r="133" spans="1:23" ht="15.75" customHeight="1" x14ac:dyDescent="0.3">
      <c r="A133" s="11" t="s">
        <v>274</v>
      </c>
      <c r="B133" s="15">
        <v>45586</v>
      </c>
      <c r="C133" s="11" t="s">
        <v>228</v>
      </c>
      <c r="D133" s="11" t="s">
        <v>229</v>
      </c>
      <c r="E133" s="11" t="s">
        <v>119</v>
      </c>
      <c r="F133" s="11" t="s">
        <v>120</v>
      </c>
      <c r="G133" s="11" t="s">
        <v>21</v>
      </c>
      <c r="H133" s="11">
        <v>3</v>
      </c>
      <c r="I133" s="11">
        <v>89.99</v>
      </c>
      <c r="J133" s="11" t="s">
        <v>36</v>
      </c>
      <c r="K133" s="11" t="s">
        <v>23</v>
      </c>
      <c r="L133" s="11" t="s">
        <v>24</v>
      </c>
      <c r="M133" s="14">
        <v>44551</v>
      </c>
      <c r="N133" s="11">
        <v>269.97000000000003</v>
      </c>
      <c r="O133" s="11" t="str">
        <f t="shared" si="18"/>
        <v>Oct</v>
      </c>
      <c r="P133" s="15">
        <f t="shared" ca="1" si="19"/>
        <v>46078</v>
      </c>
      <c r="Q133" s="18">
        <f t="shared" ca="1" si="20"/>
        <v>46078.801391898145</v>
      </c>
      <c r="R133" s="11">
        <f t="shared" ca="1" si="21"/>
        <v>4</v>
      </c>
      <c r="S133" s="15">
        <f t="shared" si="22"/>
        <v>45596</v>
      </c>
      <c r="T133" s="11">
        <f t="shared" si="23"/>
        <v>6989.7699999999986</v>
      </c>
      <c r="U133" s="11" t="str">
        <f t="shared" si="24"/>
        <v>Normal</v>
      </c>
      <c r="V133" s="11">
        <f t="shared" si="25"/>
        <v>34</v>
      </c>
      <c r="W133" s="6" t="str">
        <f t="shared" si="26"/>
        <v>L.R</v>
      </c>
    </row>
    <row r="134" spans="1:23" ht="15.75" customHeight="1" x14ac:dyDescent="0.3">
      <c r="A134" s="11" t="s">
        <v>275</v>
      </c>
      <c r="B134" s="15">
        <v>45588</v>
      </c>
      <c r="C134" s="11" t="s">
        <v>40</v>
      </c>
      <c r="D134" s="11" t="s">
        <v>41</v>
      </c>
      <c r="E134" s="11" t="s">
        <v>54</v>
      </c>
      <c r="F134" s="11" t="s">
        <v>55</v>
      </c>
      <c r="G134" s="11" t="s">
        <v>21</v>
      </c>
      <c r="H134" s="11">
        <v>2</v>
      </c>
      <c r="I134" s="11">
        <v>149.99</v>
      </c>
      <c r="J134" s="11" t="s">
        <v>36</v>
      </c>
      <c r="K134" s="11" t="s">
        <v>23</v>
      </c>
      <c r="L134" s="11" t="s">
        <v>24</v>
      </c>
      <c r="M134" s="14">
        <v>44473</v>
      </c>
      <c r="N134" s="11">
        <v>299.98</v>
      </c>
      <c r="O134" s="11" t="str">
        <f t="shared" si="18"/>
        <v>Oct</v>
      </c>
      <c r="P134" s="15">
        <f t="shared" ca="1" si="19"/>
        <v>46078</v>
      </c>
      <c r="Q134" s="18">
        <f t="shared" ca="1" si="20"/>
        <v>46078.801391898145</v>
      </c>
      <c r="R134" s="11">
        <f t="shared" ca="1" si="21"/>
        <v>4</v>
      </c>
      <c r="S134" s="15">
        <f t="shared" si="22"/>
        <v>45596</v>
      </c>
      <c r="T134" s="11">
        <f t="shared" si="23"/>
        <v>4309.8099999999995</v>
      </c>
      <c r="U134" s="11" t="str">
        <f t="shared" si="24"/>
        <v>Normal</v>
      </c>
      <c r="V134" s="11">
        <f t="shared" si="25"/>
        <v>16</v>
      </c>
      <c r="W134" s="6" t="str">
        <f t="shared" si="26"/>
        <v>K.B</v>
      </c>
    </row>
    <row r="135" spans="1:23" ht="15.75" customHeight="1" x14ac:dyDescent="0.3">
      <c r="A135" s="11" t="s">
        <v>276</v>
      </c>
      <c r="B135" s="15">
        <v>45588</v>
      </c>
      <c r="C135" s="11" t="s">
        <v>156</v>
      </c>
      <c r="D135" s="11" t="s">
        <v>157</v>
      </c>
      <c r="E135" s="11" t="s">
        <v>82</v>
      </c>
      <c r="F135" s="11" t="s">
        <v>83</v>
      </c>
      <c r="G135" s="11" t="s">
        <v>21</v>
      </c>
      <c r="H135" s="11">
        <v>2</v>
      </c>
      <c r="I135" s="11">
        <v>699.99</v>
      </c>
      <c r="J135" s="11" t="s">
        <v>22</v>
      </c>
      <c r="K135" s="11" t="s">
        <v>23</v>
      </c>
      <c r="L135" s="11" t="s">
        <v>24</v>
      </c>
      <c r="M135" s="14">
        <v>44992</v>
      </c>
      <c r="N135" s="11">
        <v>1399.98</v>
      </c>
      <c r="O135" s="11" t="str">
        <f t="shared" si="18"/>
        <v>Oct</v>
      </c>
      <c r="P135" s="15">
        <f t="shared" ca="1" si="19"/>
        <v>46078</v>
      </c>
      <c r="Q135" s="18">
        <f t="shared" ca="1" si="20"/>
        <v>46078.801391898145</v>
      </c>
      <c r="R135" s="11">
        <f t="shared" ca="1" si="21"/>
        <v>2</v>
      </c>
      <c r="S135" s="15">
        <f t="shared" si="22"/>
        <v>45596</v>
      </c>
      <c r="T135" s="11">
        <f t="shared" si="23"/>
        <v>5499.8099999999995</v>
      </c>
      <c r="U135" s="11" t="str">
        <f t="shared" si="24"/>
        <v>Normal</v>
      </c>
      <c r="V135" s="11">
        <f t="shared" si="25"/>
        <v>31</v>
      </c>
      <c r="W135" s="6" t="str">
        <f t="shared" si="26"/>
        <v>S.D</v>
      </c>
    </row>
    <row r="136" spans="1:23" ht="15.75" customHeight="1" x14ac:dyDescent="0.3">
      <c r="A136" s="11" t="s">
        <v>277</v>
      </c>
      <c r="B136" s="15">
        <v>45589</v>
      </c>
      <c r="C136" s="11" t="s">
        <v>160</v>
      </c>
      <c r="D136" s="11" t="s">
        <v>161</v>
      </c>
      <c r="E136" s="11" t="s">
        <v>82</v>
      </c>
      <c r="F136" s="11" t="s">
        <v>83</v>
      </c>
      <c r="G136" s="11" t="s">
        <v>21</v>
      </c>
      <c r="H136" s="11">
        <v>5</v>
      </c>
      <c r="I136" s="11">
        <v>699.99</v>
      </c>
      <c r="J136" s="11" t="s">
        <v>22</v>
      </c>
      <c r="K136" s="11" t="s">
        <v>42</v>
      </c>
      <c r="L136" s="11" t="s">
        <v>29</v>
      </c>
      <c r="M136" s="14">
        <v>44635</v>
      </c>
      <c r="N136" s="11">
        <v>3499.95</v>
      </c>
      <c r="O136" s="11" t="str">
        <f t="shared" si="18"/>
        <v>Oct</v>
      </c>
      <c r="P136" s="15">
        <f t="shared" ca="1" si="19"/>
        <v>46078</v>
      </c>
      <c r="Q136" s="18">
        <f t="shared" ca="1" si="20"/>
        <v>46078.801391898145</v>
      </c>
      <c r="R136" s="11">
        <f t="shared" ca="1" si="21"/>
        <v>3</v>
      </c>
      <c r="S136" s="15">
        <f t="shared" si="22"/>
        <v>45596</v>
      </c>
      <c r="T136" s="11">
        <f t="shared" si="23"/>
        <v>5649.84</v>
      </c>
      <c r="U136" s="11" t="str">
        <f t="shared" si="24"/>
        <v>Normal</v>
      </c>
      <c r="V136" s="11">
        <f t="shared" si="25"/>
        <v>31</v>
      </c>
      <c r="W136" s="6" t="str">
        <f t="shared" si="26"/>
        <v>B.C</v>
      </c>
    </row>
    <row r="137" spans="1:23" ht="15.75" customHeight="1" x14ac:dyDescent="0.3">
      <c r="A137" s="11" t="s">
        <v>278</v>
      </c>
      <c r="B137" s="15">
        <v>45592</v>
      </c>
      <c r="C137" s="11" t="s">
        <v>173</v>
      </c>
      <c r="D137" s="11" t="s">
        <v>174</v>
      </c>
      <c r="E137" s="11" t="s">
        <v>119</v>
      </c>
      <c r="F137" s="11" t="s">
        <v>120</v>
      </c>
      <c r="G137" s="11" t="s">
        <v>21</v>
      </c>
      <c r="H137" s="11">
        <v>3</v>
      </c>
      <c r="I137" s="11">
        <v>89.99</v>
      </c>
      <c r="J137" s="11" t="s">
        <v>28</v>
      </c>
      <c r="K137" s="11" t="s">
        <v>42</v>
      </c>
      <c r="L137" s="11" t="s">
        <v>38</v>
      </c>
      <c r="M137" s="14">
        <v>44615</v>
      </c>
      <c r="N137" s="11">
        <v>269.97000000000003</v>
      </c>
      <c r="O137" s="11" t="str">
        <f t="shared" si="18"/>
        <v>Oct</v>
      </c>
      <c r="P137" s="15">
        <f t="shared" ca="1" si="19"/>
        <v>46078</v>
      </c>
      <c r="Q137" s="18">
        <f t="shared" ca="1" si="20"/>
        <v>46078.801391898145</v>
      </c>
      <c r="R137" s="11">
        <f t="shared" ca="1" si="21"/>
        <v>4</v>
      </c>
      <c r="S137" s="15">
        <f t="shared" si="22"/>
        <v>45596</v>
      </c>
      <c r="T137" s="11">
        <f t="shared" si="23"/>
        <v>3669.8500000000004</v>
      </c>
      <c r="U137" s="11" t="str">
        <f t="shared" si="24"/>
        <v>Normal</v>
      </c>
      <c r="V137" s="11">
        <f t="shared" si="25"/>
        <v>34</v>
      </c>
      <c r="W137" s="6" t="str">
        <f t="shared" si="26"/>
        <v>R.R</v>
      </c>
    </row>
    <row r="138" spans="1:23" ht="15.75" customHeight="1" x14ac:dyDescent="0.3">
      <c r="A138" s="11" t="s">
        <v>279</v>
      </c>
      <c r="B138" s="15">
        <v>45597</v>
      </c>
      <c r="C138" s="11" t="s">
        <v>17</v>
      </c>
      <c r="D138" s="11" t="s">
        <v>18</v>
      </c>
      <c r="E138" s="11" t="s">
        <v>19</v>
      </c>
      <c r="F138" s="11" t="s">
        <v>20</v>
      </c>
      <c r="G138" s="11" t="s">
        <v>21</v>
      </c>
      <c r="H138" s="11">
        <v>5</v>
      </c>
      <c r="I138" s="11">
        <v>249.99</v>
      </c>
      <c r="J138" s="11" t="s">
        <v>28</v>
      </c>
      <c r="K138" s="11" t="s">
        <v>37</v>
      </c>
      <c r="L138" s="11" t="s">
        <v>38</v>
      </c>
      <c r="M138" s="14">
        <v>44881</v>
      </c>
      <c r="N138" s="11">
        <v>1249.95</v>
      </c>
      <c r="O138" s="11" t="str">
        <f t="shared" si="18"/>
        <v>Nov</v>
      </c>
      <c r="P138" s="15">
        <f t="shared" ca="1" si="19"/>
        <v>46078</v>
      </c>
      <c r="Q138" s="18">
        <f t="shared" ca="1" si="20"/>
        <v>46078.801391898145</v>
      </c>
      <c r="R138" s="11">
        <f t="shared" ca="1" si="21"/>
        <v>3</v>
      </c>
      <c r="S138" s="15">
        <f t="shared" si="22"/>
        <v>45626</v>
      </c>
      <c r="T138" s="11">
        <f t="shared" si="23"/>
        <v>8309.739999999998</v>
      </c>
      <c r="U138" s="11" t="str">
        <f t="shared" si="24"/>
        <v>Normal</v>
      </c>
      <c r="V138" s="11">
        <f t="shared" si="25"/>
        <v>26</v>
      </c>
      <c r="W138" s="6" t="str">
        <f t="shared" si="26"/>
        <v>P.B</v>
      </c>
    </row>
    <row r="139" spans="1:23" ht="15.75" customHeight="1" x14ac:dyDescent="0.3">
      <c r="A139" s="11" t="s">
        <v>280</v>
      </c>
      <c r="B139" s="15">
        <v>45600</v>
      </c>
      <c r="C139" s="11" t="s">
        <v>67</v>
      </c>
      <c r="D139" s="11" t="s">
        <v>68</v>
      </c>
      <c r="E139" s="11" t="s">
        <v>107</v>
      </c>
      <c r="F139" s="11" t="s">
        <v>108</v>
      </c>
      <c r="G139" s="11" t="s">
        <v>48</v>
      </c>
      <c r="H139" s="11">
        <v>3</v>
      </c>
      <c r="I139" s="11">
        <v>299.99</v>
      </c>
      <c r="J139" s="11" t="s">
        <v>28</v>
      </c>
      <c r="K139" s="11" t="s">
        <v>37</v>
      </c>
      <c r="L139" s="11" t="s">
        <v>38</v>
      </c>
      <c r="M139" s="14">
        <v>44502</v>
      </c>
      <c r="N139" s="11">
        <v>899.97</v>
      </c>
      <c r="O139" s="11" t="str">
        <f t="shared" si="18"/>
        <v>Nov</v>
      </c>
      <c r="P139" s="15">
        <f t="shared" ca="1" si="19"/>
        <v>46078</v>
      </c>
      <c r="Q139" s="18">
        <f t="shared" ca="1" si="20"/>
        <v>46078.801391898145</v>
      </c>
      <c r="R139" s="11">
        <f t="shared" ca="1" si="21"/>
        <v>4</v>
      </c>
      <c r="S139" s="15">
        <f t="shared" si="22"/>
        <v>45626</v>
      </c>
      <c r="T139" s="11">
        <f t="shared" si="23"/>
        <v>8009.7699999999995</v>
      </c>
      <c r="U139" s="11" t="str">
        <f t="shared" si="24"/>
        <v>Normal</v>
      </c>
      <c r="V139" s="11">
        <f t="shared" si="25"/>
        <v>26</v>
      </c>
      <c r="W139" s="6" t="str">
        <f t="shared" si="26"/>
        <v>K.H</v>
      </c>
    </row>
    <row r="140" spans="1:23" ht="15.75" customHeight="1" x14ac:dyDescent="0.3">
      <c r="A140" s="11" t="s">
        <v>281</v>
      </c>
      <c r="B140" s="15">
        <v>45603</v>
      </c>
      <c r="C140" s="11" t="s">
        <v>101</v>
      </c>
      <c r="D140" s="11" t="s">
        <v>102</v>
      </c>
      <c r="E140" s="11" t="s">
        <v>119</v>
      </c>
      <c r="F140" s="11" t="s">
        <v>120</v>
      </c>
      <c r="G140" s="11" t="s">
        <v>21</v>
      </c>
      <c r="H140" s="11">
        <v>3</v>
      </c>
      <c r="I140" s="11">
        <v>89.99</v>
      </c>
      <c r="J140" s="11" t="s">
        <v>28</v>
      </c>
      <c r="K140" s="11" t="s">
        <v>42</v>
      </c>
      <c r="L140" s="11" t="s">
        <v>29</v>
      </c>
      <c r="M140" s="14">
        <v>44420</v>
      </c>
      <c r="N140" s="11">
        <v>269.97000000000003</v>
      </c>
      <c r="O140" s="11" t="str">
        <f t="shared" si="18"/>
        <v>Nov</v>
      </c>
      <c r="P140" s="15">
        <f t="shared" ca="1" si="19"/>
        <v>46078</v>
      </c>
      <c r="Q140" s="18">
        <f t="shared" ca="1" si="20"/>
        <v>46078.801391898145</v>
      </c>
      <c r="R140" s="11">
        <f t="shared" ca="1" si="21"/>
        <v>4</v>
      </c>
      <c r="S140" s="15">
        <f t="shared" si="22"/>
        <v>45626</v>
      </c>
      <c r="T140" s="11">
        <f t="shared" si="23"/>
        <v>9799.73</v>
      </c>
      <c r="U140" s="11" t="str">
        <f t="shared" si="24"/>
        <v>Normal</v>
      </c>
      <c r="V140" s="11">
        <f t="shared" si="25"/>
        <v>34</v>
      </c>
      <c r="W140" s="6" t="str">
        <f t="shared" si="26"/>
        <v>P.M</v>
      </c>
    </row>
    <row r="141" spans="1:23" ht="15.75" customHeight="1" x14ac:dyDescent="0.3">
      <c r="A141" s="11" t="s">
        <v>282</v>
      </c>
      <c r="B141" s="15">
        <v>45604</v>
      </c>
      <c r="C141" s="11" t="s">
        <v>91</v>
      </c>
      <c r="D141" s="11" t="s">
        <v>92</v>
      </c>
      <c r="E141" s="11" t="s">
        <v>46</v>
      </c>
      <c r="F141" s="11" t="s">
        <v>47</v>
      </c>
      <c r="G141" s="11" t="s">
        <v>48</v>
      </c>
      <c r="H141" s="11">
        <v>2</v>
      </c>
      <c r="I141" s="11">
        <v>149.99</v>
      </c>
      <c r="J141" s="11" t="s">
        <v>28</v>
      </c>
      <c r="K141" s="11" t="s">
        <v>52</v>
      </c>
      <c r="L141" s="11" t="s">
        <v>29</v>
      </c>
      <c r="M141" s="14">
        <v>44848</v>
      </c>
      <c r="N141" s="11">
        <v>299.98</v>
      </c>
      <c r="O141" s="11" t="str">
        <f t="shared" si="18"/>
        <v>Nov</v>
      </c>
      <c r="P141" s="15">
        <f t="shared" ca="1" si="19"/>
        <v>46078</v>
      </c>
      <c r="Q141" s="18">
        <f t="shared" ca="1" si="20"/>
        <v>46078.801391898145</v>
      </c>
      <c r="R141" s="11">
        <f t="shared" ca="1" si="21"/>
        <v>3</v>
      </c>
      <c r="S141" s="15">
        <f t="shared" si="22"/>
        <v>45626</v>
      </c>
      <c r="T141" s="11">
        <f t="shared" si="23"/>
        <v>1909.93</v>
      </c>
      <c r="U141" s="11" t="str">
        <f t="shared" si="24"/>
        <v>Normal</v>
      </c>
      <c r="V141" s="11">
        <f t="shared" si="25"/>
        <v>35</v>
      </c>
      <c r="W141" s="6" t="str">
        <f t="shared" si="26"/>
        <v>M.G</v>
      </c>
    </row>
    <row r="142" spans="1:23" ht="15.75" customHeight="1" x14ac:dyDescent="0.3">
      <c r="A142" s="11" t="s">
        <v>283</v>
      </c>
      <c r="B142" s="15">
        <v>45605</v>
      </c>
      <c r="C142" s="11" t="s">
        <v>187</v>
      </c>
      <c r="D142" s="11" t="s">
        <v>188</v>
      </c>
      <c r="E142" s="11" t="s">
        <v>19</v>
      </c>
      <c r="F142" s="11" t="s">
        <v>20</v>
      </c>
      <c r="G142" s="11" t="s">
        <v>21</v>
      </c>
      <c r="H142" s="11">
        <v>1</v>
      </c>
      <c r="I142" s="11">
        <v>249.99</v>
      </c>
      <c r="J142" s="11" t="s">
        <v>28</v>
      </c>
      <c r="K142" s="11" t="s">
        <v>42</v>
      </c>
      <c r="L142" s="11" t="s">
        <v>29</v>
      </c>
      <c r="M142" s="14">
        <v>44828</v>
      </c>
      <c r="N142" s="11">
        <v>249.99</v>
      </c>
      <c r="O142" s="11" t="str">
        <f t="shared" si="18"/>
        <v>Nov</v>
      </c>
      <c r="P142" s="15">
        <f t="shared" ca="1" si="19"/>
        <v>46078</v>
      </c>
      <c r="Q142" s="18">
        <f t="shared" ca="1" si="20"/>
        <v>46078.801391898145</v>
      </c>
      <c r="R142" s="11">
        <f t="shared" ca="1" si="21"/>
        <v>3</v>
      </c>
      <c r="S142" s="15">
        <f t="shared" si="22"/>
        <v>45626</v>
      </c>
      <c r="T142" s="11">
        <f t="shared" si="23"/>
        <v>2099.88</v>
      </c>
      <c r="U142" s="11" t="str">
        <f t="shared" si="24"/>
        <v>Normal</v>
      </c>
      <c r="V142" s="11">
        <f t="shared" si="25"/>
        <v>26</v>
      </c>
      <c r="W142" s="6" t="str">
        <f t="shared" si="26"/>
        <v>M.W</v>
      </c>
    </row>
    <row r="143" spans="1:23" ht="15.75" customHeight="1" x14ac:dyDescent="0.3">
      <c r="A143" s="11" t="s">
        <v>284</v>
      </c>
      <c r="B143" s="15">
        <v>45607</v>
      </c>
      <c r="C143" s="11" t="s">
        <v>74</v>
      </c>
      <c r="D143" s="11" t="s">
        <v>75</v>
      </c>
      <c r="E143" s="11" t="s">
        <v>54</v>
      </c>
      <c r="F143" s="11" t="s">
        <v>55</v>
      </c>
      <c r="G143" s="11" t="s">
        <v>21</v>
      </c>
      <c r="H143" s="11">
        <v>3</v>
      </c>
      <c r="I143" s="11">
        <v>149.99</v>
      </c>
      <c r="J143" s="11" t="s">
        <v>22</v>
      </c>
      <c r="K143" s="11" t="s">
        <v>42</v>
      </c>
      <c r="L143" s="11" t="s">
        <v>24</v>
      </c>
      <c r="M143" s="14">
        <v>44769</v>
      </c>
      <c r="N143" s="11">
        <v>449.97</v>
      </c>
      <c r="O143" s="11" t="str">
        <f t="shared" si="18"/>
        <v>Nov</v>
      </c>
      <c r="P143" s="15">
        <f t="shared" ca="1" si="19"/>
        <v>46078</v>
      </c>
      <c r="Q143" s="18">
        <f t="shared" ca="1" si="20"/>
        <v>46078.801391898145</v>
      </c>
      <c r="R143" s="11">
        <f t="shared" ca="1" si="21"/>
        <v>3</v>
      </c>
      <c r="S143" s="15">
        <f t="shared" si="22"/>
        <v>45626</v>
      </c>
      <c r="T143" s="11">
        <f t="shared" si="23"/>
        <v>5949.85</v>
      </c>
      <c r="U143" s="11" t="str">
        <f t="shared" si="24"/>
        <v>Normal</v>
      </c>
      <c r="V143" s="11">
        <f t="shared" si="25"/>
        <v>16</v>
      </c>
      <c r="W143" s="6" t="str">
        <f t="shared" si="26"/>
        <v>P.R</v>
      </c>
    </row>
    <row r="144" spans="1:23" ht="15.75" customHeight="1" x14ac:dyDescent="0.3">
      <c r="A144" s="11" t="s">
        <v>285</v>
      </c>
      <c r="B144" s="15">
        <v>45607</v>
      </c>
      <c r="C144" s="11" t="s">
        <v>17</v>
      </c>
      <c r="D144" s="11" t="s">
        <v>18</v>
      </c>
      <c r="E144" s="11" t="s">
        <v>33</v>
      </c>
      <c r="F144" s="11" t="s">
        <v>34</v>
      </c>
      <c r="G144" s="11" t="s">
        <v>35</v>
      </c>
      <c r="H144" s="11">
        <v>5</v>
      </c>
      <c r="I144" s="11">
        <v>59.99</v>
      </c>
      <c r="J144" s="11" t="s">
        <v>36</v>
      </c>
      <c r="K144" s="11" t="s">
        <v>52</v>
      </c>
      <c r="L144" s="11" t="s">
        <v>29</v>
      </c>
      <c r="M144" s="14">
        <v>44694</v>
      </c>
      <c r="N144" s="11">
        <v>299.95</v>
      </c>
      <c r="O144" s="11" t="str">
        <f t="shared" si="18"/>
        <v>Nov</v>
      </c>
      <c r="P144" s="15">
        <f t="shared" ca="1" si="19"/>
        <v>46078</v>
      </c>
      <c r="Q144" s="18">
        <f t="shared" ca="1" si="20"/>
        <v>46078.801391898145</v>
      </c>
      <c r="R144" s="11">
        <f t="shared" ca="1" si="21"/>
        <v>3</v>
      </c>
      <c r="S144" s="15">
        <f t="shared" si="22"/>
        <v>45626</v>
      </c>
      <c r="T144" s="11">
        <f t="shared" si="23"/>
        <v>8309.739999999998</v>
      </c>
      <c r="U144" s="11" t="str">
        <f t="shared" si="24"/>
        <v>Normal</v>
      </c>
      <c r="V144" s="11">
        <f t="shared" si="25"/>
        <v>29</v>
      </c>
      <c r="W144" s="6" t="str">
        <f t="shared" si="26"/>
        <v>P.B</v>
      </c>
    </row>
    <row r="145" spans="1:23" ht="15.75" customHeight="1" x14ac:dyDescent="0.3">
      <c r="A145" s="11" t="s">
        <v>286</v>
      </c>
      <c r="B145" s="15">
        <v>45607</v>
      </c>
      <c r="C145" s="11" t="s">
        <v>101</v>
      </c>
      <c r="D145" s="11" t="s">
        <v>102</v>
      </c>
      <c r="E145" s="11" t="s">
        <v>19</v>
      </c>
      <c r="F145" s="11" t="s">
        <v>20</v>
      </c>
      <c r="G145" s="11" t="s">
        <v>21</v>
      </c>
      <c r="H145" s="11">
        <v>4</v>
      </c>
      <c r="I145" s="11">
        <v>249.99</v>
      </c>
      <c r="J145" s="11" t="s">
        <v>28</v>
      </c>
      <c r="K145" s="11" t="s">
        <v>52</v>
      </c>
      <c r="L145" s="11" t="s">
        <v>38</v>
      </c>
      <c r="M145" s="14">
        <v>44659</v>
      </c>
      <c r="N145" s="11">
        <v>999.96</v>
      </c>
      <c r="O145" s="11" t="str">
        <f t="shared" si="18"/>
        <v>Nov</v>
      </c>
      <c r="P145" s="15">
        <f t="shared" ca="1" si="19"/>
        <v>46078</v>
      </c>
      <c r="Q145" s="18">
        <f t="shared" ca="1" si="20"/>
        <v>46078.801391898145</v>
      </c>
      <c r="R145" s="11">
        <f t="shared" ca="1" si="21"/>
        <v>3</v>
      </c>
      <c r="S145" s="15">
        <f t="shared" si="22"/>
        <v>45626</v>
      </c>
      <c r="T145" s="11">
        <f t="shared" si="23"/>
        <v>9799.73</v>
      </c>
      <c r="U145" s="11" t="str">
        <f t="shared" si="24"/>
        <v>Normal</v>
      </c>
      <c r="V145" s="11">
        <f t="shared" si="25"/>
        <v>26</v>
      </c>
      <c r="W145" s="6" t="str">
        <f t="shared" si="26"/>
        <v>P.M</v>
      </c>
    </row>
    <row r="146" spans="1:23" ht="15.75" customHeight="1" x14ac:dyDescent="0.3">
      <c r="A146" s="11" t="s">
        <v>287</v>
      </c>
      <c r="B146" s="15">
        <v>45608</v>
      </c>
      <c r="C146" s="11" t="s">
        <v>156</v>
      </c>
      <c r="D146" s="11" t="s">
        <v>157</v>
      </c>
      <c r="E146" s="11" t="s">
        <v>46</v>
      </c>
      <c r="F146" s="11" t="s">
        <v>47</v>
      </c>
      <c r="G146" s="11" t="s">
        <v>48</v>
      </c>
      <c r="H146" s="11">
        <v>5</v>
      </c>
      <c r="I146" s="11">
        <v>149.99</v>
      </c>
      <c r="J146" s="11" t="s">
        <v>36</v>
      </c>
      <c r="K146" s="11" t="s">
        <v>23</v>
      </c>
      <c r="L146" s="11" t="s">
        <v>24</v>
      </c>
      <c r="M146" s="14">
        <v>44901</v>
      </c>
      <c r="N146" s="11">
        <v>749.95</v>
      </c>
      <c r="O146" s="11" t="str">
        <f t="shared" si="18"/>
        <v>Nov</v>
      </c>
      <c r="P146" s="15">
        <f t="shared" ca="1" si="19"/>
        <v>46078</v>
      </c>
      <c r="Q146" s="18">
        <f t="shared" ca="1" si="20"/>
        <v>46078.801391898145</v>
      </c>
      <c r="R146" s="11">
        <f t="shared" ca="1" si="21"/>
        <v>3</v>
      </c>
      <c r="S146" s="15">
        <f t="shared" si="22"/>
        <v>45626</v>
      </c>
      <c r="T146" s="11">
        <f t="shared" si="23"/>
        <v>5499.8099999999995</v>
      </c>
      <c r="U146" s="11" t="str">
        <f t="shared" si="24"/>
        <v>Normal</v>
      </c>
      <c r="V146" s="11">
        <f t="shared" si="25"/>
        <v>35</v>
      </c>
      <c r="W146" s="6" t="str">
        <f t="shared" si="26"/>
        <v>S.D</v>
      </c>
    </row>
    <row r="147" spans="1:23" ht="15.75" customHeight="1" x14ac:dyDescent="0.3">
      <c r="A147" s="11" t="s">
        <v>288</v>
      </c>
      <c r="B147" s="15">
        <v>45608</v>
      </c>
      <c r="C147" s="11" t="s">
        <v>85</v>
      </c>
      <c r="D147" s="11" t="s">
        <v>86</v>
      </c>
      <c r="E147" s="11" t="s">
        <v>33</v>
      </c>
      <c r="F147" s="11" t="s">
        <v>34</v>
      </c>
      <c r="G147" s="11" t="s">
        <v>35</v>
      </c>
      <c r="H147" s="11">
        <v>3</v>
      </c>
      <c r="I147" s="11">
        <v>59.99</v>
      </c>
      <c r="J147" s="11" t="s">
        <v>59</v>
      </c>
      <c r="K147" s="11" t="s">
        <v>37</v>
      </c>
      <c r="L147" s="11" t="s">
        <v>38</v>
      </c>
      <c r="M147" s="14">
        <v>45260</v>
      </c>
      <c r="N147" s="11">
        <v>179.97</v>
      </c>
      <c r="O147" s="11" t="str">
        <f t="shared" si="18"/>
        <v>Nov</v>
      </c>
      <c r="P147" s="15">
        <f t="shared" ca="1" si="19"/>
        <v>46078</v>
      </c>
      <c r="Q147" s="18">
        <f t="shared" ca="1" si="20"/>
        <v>46078.801391898145</v>
      </c>
      <c r="R147" s="11">
        <f t="shared" ca="1" si="21"/>
        <v>2</v>
      </c>
      <c r="S147" s="15">
        <f t="shared" si="22"/>
        <v>45626</v>
      </c>
      <c r="T147" s="11">
        <f t="shared" si="23"/>
        <v>3779.93</v>
      </c>
      <c r="U147" s="11" t="str">
        <f t="shared" si="24"/>
        <v>Normal</v>
      </c>
      <c r="V147" s="11">
        <f t="shared" si="25"/>
        <v>29</v>
      </c>
      <c r="W147" s="6" t="str">
        <f t="shared" si="26"/>
        <v>G.A</v>
      </c>
    </row>
    <row r="148" spans="1:23" ht="15.75" customHeight="1" x14ac:dyDescent="0.3">
      <c r="A148" s="11" t="s">
        <v>289</v>
      </c>
      <c r="B148" s="15">
        <v>45613</v>
      </c>
      <c r="C148" s="11" t="s">
        <v>236</v>
      </c>
      <c r="D148" s="11" t="s">
        <v>237</v>
      </c>
      <c r="E148" s="11" t="s">
        <v>46</v>
      </c>
      <c r="F148" s="11" t="s">
        <v>47</v>
      </c>
      <c r="G148" s="11" t="s">
        <v>48</v>
      </c>
      <c r="H148" s="11">
        <v>5</v>
      </c>
      <c r="I148" s="11">
        <v>149.99</v>
      </c>
      <c r="J148" s="11" t="s">
        <v>22</v>
      </c>
      <c r="K148" s="11" t="s">
        <v>42</v>
      </c>
      <c r="L148" s="11" t="s">
        <v>24</v>
      </c>
      <c r="M148" s="14">
        <v>44869</v>
      </c>
      <c r="N148" s="11">
        <v>749.95</v>
      </c>
      <c r="O148" s="11" t="str">
        <f t="shared" si="18"/>
        <v>Nov</v>
      </c>
      <c r="P148" s="15">
        <f t="shared" ca="1" si="19"/>
        <v>46078</v>
      </c>
      <c r="Q148" s="18">
        <f t="shared" ca="1" si="20"/>
        <v>46078.801391898145</v>
      </c>
      <c r="R148" s="11">
        <f t="shared" ca="1" si="21"/>
        <v>3</v>
      </c>
      <c r="S148" s="15">
        <f t="shared" si="22"/>
        <v>45626</v>
      </c>
      <c r="T148" s="11">
        <f t="shared" si="23"/>
        <v>6349.83</v>
      </c>
      <c r="U148" s="11" t="str">
        <f t="shared" si="24"/>
        <v>Normal</v>
      </c>
      <c r="V148" s="11">
        <f t="shared" si="25"/>
        <v>35</v>
      </c>
      <c r="W148" s="6" t="str">
        <f t="shared" si="26"/>
        <v>S.P</v>
      </c>
    </row>
    <row r="149" spans="1:23" ht="15.75" customHeight="1" x14ac:dyDescent="0.3">
      <c r="A149" s="11" t="s">
        <v>290</v>
      </c>
      <c r="B149" s="15">
        <v>45613</v>
      </c>
      <c r="C149" s="11" t="s">
        <v>88</v>
      </c>
      <c r="D149" s="11" t="s">
        <v>89</v>
      </c>
      <c r="E149" s="11" t="s">
        <v>82</v>
      </c>
      <c r="F149" s="11" t="s">
        <v>83</v>
      </c>
      <c r="G149" s="11" t="s">
        <v>21</v>
      </c>
      <c r="H149" s="11">
        <v>2</v>
      </c>
      <c r="I149" s="11">
        <v>699.99</v>
      </c>
      <c r="J149" s="11" t="s">
        <v>36</v>
      </c>
      <c r="K149" s="11" t="s">
        <v>52</v>
      </c>
      <c r="L149" s="11" t="s">
        <v>38</v>
      </c>
      <c r="M149" s="14">
        <v>44770</v>
      </c>
      <c r="N149" s="11">
        <v>1399.98</v>
      </c>
      <c r="O149" s="11" t="str">
        <f t="shared" si="18"/>
        <v>Nov</v>
      </c>
      <c r="P149" s="15">
        <f t="shared" ca="1" si="19"/>
        <v>46078</v>
      </c>
      <c r="Q149" s="18">
        <f t="shared" ca="1" si="20"/>
        <v>46078.801391898145</v>
      </c>
      <c r="R149" s="11">
        <f t="shared" ca="1" si="21"/>
        <v>3</v>
      </c>
      <c r="S149" s="15">
        <f t="shared" si="22"/>
        <v>45626</v>
      </c>
      <c r="T149" s="11">
        <f t="shared" si="23"/>
        <v>15659.65</v>
      </c>
      <c r="U149" s="11" t="str">
        <f t="shared" si="24"/>
        <v>High</v>
      </c>
      <c r="V149" s="11">
        <f t="shared" si="25"/>
        <v>31</v>
      </c>
      <c r="W149" s="6" t="str">
        <f t="shared" si="26"/>
        <v>M.C</v>
      </c>
    </row>
    <row r="150" spans="1:23" ht="15.75" customHeight="1" x14ac:dyDescent="0.3">
      <c r="A150" s="11" t="s">
        <v>291</v>
      </c>
      <c r="B150" s="15">
        <v>45617</v>
      </c>
      <c r="C150" s="11" t="s">
        <v>125</v>
      </c>
      <c r="D150" s="11" t="s">
        <v>126</v>
      </c>
      <c r="E150" s="11" t="s">
        <v>128</v>
      </c>
      <c r="F150" s="11" t="s">
        <v>129</v>
      </c>
      <c r="G150" s="11" t="s">
        <v>48</v>
      </c>
      <c r="H150" s="11">
        <v>4</v>
      </c>
      <c r="I150" s="11">
        <v>199.99</v>
      </c>
      <c r="J150" s="11" t="s">
        <v>59</v>
      </c>
      <c r="K150" s="11" t="s">
        <v>23</v>
      </c>
      <c r="L150" s="11" t="s">
        <v>29</v>
      </c>
      <c r="M150" s="14">
        <v>44427</v>
      </c>
      <c r="N150" s="11">
        <v>799.96</v>
      </c>
      <c r="O150" s="11" t="str">
        <f t="shared" si="18"/>
        <v>Nov</v>
      </c>
      <c r="P150" s="15">
        <f t="shared" ca="1" si="19"/>
        <v>46078</v>
      </c>
      <c r="Q150" s="18">
        <f t="shared" ca="1" si="20"/>
        <v>46078.801391898145</v>
      </c>
      <c r="R150" s="11">
        <f t="shared" ca="1" si="21"/>
        <v>4</v>
      </c>
      <c r="S150" s="15">
        <f t="shared" si="22"/>
        <v>45626</v>
      </c>
      <c r="T150" s="11">
        <f t="shared" si="23"/>
        <v>11919.769999999999</v>
      </c>
      <c r="U150" s="11" t="str">
        <f t="shared" si="24"/>
        <v>High</v>
      </c>
      <c r="V150" s="11">
        <f t="shared" si="25"/>
        <v>15</v>
      </c>
      <c r="W150" s="6" t="str">
        <f t="shared" si="26"/>
        <v>E.M</v>
      </c>
    </row>
    <row r="151" spans="1:23" ht="15.75" customHeight="1" x14ac:dyDescent="0.3">
      <c r="A151" s="11" t="s">
        <v>292</v>
      </c>
      <c r="B151" s="15">
        <v>45619</v>
      </c>
      <c r="C151" s="11" t="s">
        <v>194</v>
      </c>
      <c r="D151" s="11" t="s">
        <v>195</v>
      </c>
      <c r="E151" s="11" t="s">
        <v>33</v>
      </c>
      <c r="F151" s="11" t="s">
        <v>34</v>
      </c>
      <c r="G151" s="11" t="s">
        <v>35</v>
      </c>
      <c r="H151" s="11">
        <v>1</v>
      </c>
      <c r="I151" s="11">
        <v>59.99</v>
      </c>
      <c r="J151" s="11" t="s">
        <v>59</v>
      </c>
      <c r="K151" s="11" t="s">
        <v>52</v>
      </c>
      <c r="L151" s="11" t="s">
        <v>38</v>
      </c>
      <c r="M151" s="14">
        <v>44560</v>
      </c>
      <c r="N151" s="11">
        <v>59.99</v>
      </c>
      <c r="O151" s="11" t="str">
        <f t="shared" si="18"/>
        <v>Nov</v>
      </c>
      <c r="P151" s="15">
        <f t="shared" ca="1" si="19"/>
        <v>46078</v>
      </c>
      <c r="Q151" s="18">
        <f t="shared" ca="1" si="20"/>
        <v>46078.801391898145</v>
      </c>
      <c r="R151" s="11">
        <f t="shared" ca="1" si="21"/>
        <v>4</v>
      </c>
      <c r="S151" s="15">
        <f t="shared" si="22"/>
        <v>45626</v>
      </c>
      <c r="T151" s="11">
        <f t="shared" si="23"/>
        <v>1479.91</v>
      </c>
      <c r="U151" s="11" t="str">
        <f t="shared" si="24"/>
        <v>Normal</v>
      </c>
      <c r="V151" s="11">
        <f t="shared" si="25"/>
        <v>29</v>
      </c>
      <c r="W151" s="6" t="str">
        <f t="shared" si="26"/>
        <v>F.T</v>
      </c>
    </row>
    <row r="152" spans="1:23" ht="15.75" customHeight="1" x14ac:dyDescent="0.3">
      <c r="A152" s="11" t="s">
        <v>293</v>
      </c>
      <c r="B152" s="15">
        <v>45619</v>
      </c>
      <c r="C152" s="11" t="s">
        <v>156</v>
      </c>
      <c r="D152" s="11" t="s">
        <v>157</v>
      </c>
      <c r="E152" s="11" t="s">
        <v>82</v>
      </c>
      <c r="F152" s="11" t="s">
        <v>83</v>
      </c>
      <c r="G152" s="11" t="s">
        <v>21</v>
      </c>
      <c r="H152" s="11">
        <v>3</v>
      </c>
      <c r="I152" s="11">
        <v>699.99</v>
      </c>
      <c r="J152" s="11" t="s">
        <v>36</v>
      </c>
      <c r="K152" s="11" t="s">
        <v>52</v>
      </c>
      <c r="L152" s="11" t="s">
        <v>38</v>
      </c>
      <c r="M152" s="14">
        <v>44583</v>
      </c>
      <c r="N152" s="11">
        <v>2099.9699999999998</v>
      </c>
      <c r="O152" s="11" t="str">
        <f t="shared" si="18"/>
        <v>Nov</v>
      </c>
      <c r="P152" s="15">
        <f t="shared" ca="1" si="19"/>
        <v>46078</v>
      </c>
      <c r="Q152" s="18">
        <f t="shared" ca="1" si="20"/>
        <v>46078.801391898145</v>
      </c>
      <c r="R152" s="11">
        <f t="shared" ca="1" si="21"/>
        <v>4</v>
      </c>
      <c r="S152" s="15">
        <f t="shared" si="22"/>
        <v>45626</v>
      </c>
      <c r="T152" s="11">
        <f t="shared" si="23"/>
        <v>5499.8099999999995</v>
      </c>
      <c r="U152" s="11" t="str">
        <f t="shared" si="24"/>
        <v>Normal</v>
      </c>
      <c r="V152" s="11">
        <f t="shared" si="25"/>
        <v>31</v>
      </c>
      <c r="W152" s="6" t="str">
        <f t="shared" si="26"/>
        <v>S.D</v>
      </c>
    </row>
    <row r="153" spans="1:23" ht="15.75" customHeight="1" x14ac:dyDescent="0.3">
      <c r="A153" s="11" t="s">
        <v>294</v>
      </c>
      <c r="B153" s="15">
        <v>45622</v>
      </c>
      <c r="C153" s="11" t="s">
        <v>295</v>
      </c>
      <c r="D153" s="11" t="s">
        <v>296</v>
      </c>
      <c r="E153" s="11" t="s">
        <v>19</v>
      </c>
      <c r="F153" s="11" t="s">
        <v>20</v>
      </c>
      <c r="G153" s="11" t="s">
        <v>21</v>
      </c>
      <c r="H153" s="11">
        <v>5</v>
      </c>
      <c r="I153" s="11">
        <v>249.99</v>
      </c>
      <c r="J153" s="11" t="s">
        <v>28</v>
      </c>
      <c r="K153" s="11" t="s">
        <v>42</v>
      </c>
      <c r="L153" s="11" t="s">
        <v>24</v>
      </c>
      <c r="M153" s="14">
        <v>44873</v>
      </c>
      <c r="N153" s="11">
        <v>1249.95</v>
      </c>
      <c r="O153" s="11" t="str">
        <f t="shared" si="18"/>
        <v>Nov</v>
      </c>
      <c r="P153" s="15">
        <f t="shared" ca="1" si="19"/>
        <v>46078</v>
      </c>
      <c r="Q153" s="18">
        <f t="shared" ca="1" si="20"/>
        <v>46078.801391898145</v>
      </c>
      <c r="R153" s="11">
        <f t="shared" ca="1" si="21"/>
        <v>3</v>
      </c>
      <c r="S153" s="15">
        <f t="shared" si="22"/>
        <v>45626</v>
      </c>
      <c r="T153" s="11">
        <f t="shared" si="23"/>
        <v>4829.8899999999994</v>
      </c>
      <c r="U153" s="11" t="str">
        <f t="shared" si="24"/>
        <v>Normal</v>
      </c>
      <c r="V153" s="11">
        <f t="shared" si="25"/>
        <v>26</v>
      </c>
      <c r="W153" s="6" t="str">
        <f t="shared" si="26"/>
        <v>D.W</v>
      </c>
    </row>
    <row r="154" spans="1:23" ht="15.75" customHeight="1" x14ac:dyDescent="0.3">
      <c r="A154" s="11" t="s">
        <v>297</v>
      </c>
      <c r="B154" s="15">
        <v>45623</v>
      </c>
      <c r="C154" s="11" t="s">
        <v>114</v>
      </c>
      <c r="D154" s="11" t="s">
        <v>115</v>
      </c>
      <c r="E154" s="11" t="s">
        <v>46</v>
      </c>
      <c r="F154" s="11" t="s">
        <v>47</v>
      </c>
      <c r="G154" s="11" t="s">
        <v>48</v>
      </c>
      <c r="H154" s="11">
        <v>2</v>
      </c>
      <c r="I154" s="11">
        <v>149.99</v>
      </c>
      <c r="J154" s="11" t="s">
        <v>22</v>
      </c>
      <c r="K154" s="11" t="s">
        <v>37</v>
      </c>
      <c r="L154" s="11" t="s">
        <v>38</v>
      </c>
      <c r="M154" s="14">
        <v>45101</v>
      </c>
      <c r="N154" s="11">
        <v>299.98</v>
      </c>
      <c r="O154" s="11" t="str">
        <f t="shared" si="18"/>
        <v>Nov</v>
      </c>
      <c r="P154" s="15">
        <f t="shared" ca="1" si="19"/>
        <v>46078</v>
      </c>
      <c r="Q154" s="18">
        <f t="shared" ca="1" si="20"/>
        <v>46078.801391898145</v>
      </c>
      <c r="R154" s="11">
        <f t="shared" ca="1" si="21"/>
        <v>2</v>
      </c>
      <c r="S154" s="15">
        <f t="shared" si="22"/>
        <v>45626</v>
      </c>
      <c r="T154" s="11">
        <f t="shared" si="23"/>
        <v>1289.9000000000001</v>
      </c>
      <c r="U154" s="11" t="str">
        <f t="shared" si="24"/>
        <v>Normal</v>
      </c>
      <c r="V154" s="11">
        <f t="shared" si="25"/>
        <v>35</v>
      </c>
      <c r="W154" s="6" t="str">
        <f t="shared" si="26"/>
        <v>L.M</v>
      </c>
    </row>
    <row r="155" spans="1:23" ht="15.75" customHeight="1" x14ac:dyDescent="0.3">
      <c r="A155" s="11" t="s">
        <v>298</v>
      </c>
      <c r="B155" s="15">
        <v>45627</v>
      </c>
      <c r="C155" s="11" t="s">
        <v>31</v>
      </c>
      <c r="D155" s="11" t="s">
        <v>32</v>
      </c>
      <c r="E155" s="11" t="s">
        <v>107</v>
      </c>
      <c r="F155" s="11" t="s">
        <v>108</v>
      </c>
      <c r="G155" s="11" t="s">
        <v>48</v>
      </c>
      <c r="H155" s="11">
        <v>3</v>
      </c>
      <c r="I155" s="11">
        <v>299.99</v>
      </c>
      <c r="J155" s="11" t="s">
        <v>22</v>
      </c>
      <c r="K155" s="11" t="s">
        <v>37</v>
      </c>
      <c r="L155" s="11" t="s">
        <v>29</v>
      </c>
      <c r="M155" s="14">
        <v>44659</v>
      </c>
      <c r="N155" s="11">
        <v>899.97</v>
      </c>
      <c r="O155" s="11" t="str">
        <f t="shared" si="18"/>
        <v>Dec</v>
      </c>
      <c r="P155" s="15">
        <f t="shared" ca="1" si="19"/>
        <v>46078</v>
      </c>
      <c r="Q155" s="18">
        <f t="shared" ca="1" si="20"/>
        <v>46078.801391898145</v>
      </c>
      <c r="R155" s="11">
        <f t="shared" ca="1" si="21"/>
        <v>3</v>
      </c>
      <c r="S155" s="15">
        <f t="shared" si="22"/>
        <v>45657</v>
      </c>
      <c r="T155" s="11">
        <f t="shared" si="23"/>
        <v>3259.87</v>
      </c>
      <c r="U155" s="11" t="str">
        <f t="shared" si="24"/>
        <v>Normal</v>
      </c>
      <c r="V155" s="11">
        <f t="shared" si="25"/>
        <v>26</v>
      </c>
      <c r="W155" s="6" t="str">
        <f t="shared" si="26"/>
        <v>K.S</v>
      </c>
    </row>
    <row r="156" spans="1:23" ht="15.75" customHeight="1" x14ac:dyDescent="0.3">
      <c r="A156" s="11" t="s">
        <v>299</v>
      </c>
      <c r="B156" s="15">
        <v>45627</v>
      </c>
      <c r="C156" s="11" t="s">
        <v>57</v>
      </c>
      <c r="D156" s="11" t="s">
        <v>58</v>
      </c>
      <c r="E156" s="11" t="s">
        <v>19</v>
      </c>
      <c r="F156" s="11" t="s">
        <v>20</v>
      </c>
      <c r="G156" s="11" t="s">
        <v>21</v>
      </c>
      <c r="H156" s="11">
        <v>5</v>
      </c>
      <c r="I156" s="11">
        <v>249.99</v>
      </c>
      <c r="J156" s="11" t="s">
        <v>22</v>
      </c>
      <c r="K156" s="11" t="s">
        <v>23</v>
      </c>
      <c r="L156" s="11" t="s">
        <v>29</v>
      </c>
      <c r="M156" s="14">
        <v>44485</v>
      </c>
      <c r="N156" s="11">
        <v>1249.95</v>
      </c>
      <c r="O156" s="11" t="str">
        <f t="shared" si="18"/>
        <v>Dec</v>
      </c>
      <c r="P156" s="15">
        <f t="shared" ca="1" si="19"/>
        <v>46078</v>
      </c>
      <c r="Q156" s="18">
        <f t="shared" ca="1" si="20"/>
        <v>46078.801391898145</v>
      </c>
      <c r="R156" s="11">
        <f t="shared" ca="1" si="21"/>
        <v>4</v>
      </c>
      <c r="S156" s="15">
        <f t="shared" si="22"/>
        <v>45657</v>
      </c>
      <c r="T156" s="11">
        <f t="shared" si="23"/>
        <v>5089.7300000000005</v>
      </c>
      <c r="U156" s="11" t="str">
        <f t="shared" si="24"/>
        <v>Normal</v>
      </c>
      <c r="V156" s="11">
        <f t="shared" si="25"/>
        <v>26</v>
      </c>
      <c r="W156" s="6" t="str">
        <f t="shared" si="26"/>
        <v>C.A</v>
      </c>
    </row>
    <row r="157" spans="1:23" ht="15.75" customHeight="1" x14ac:dyDescent="0.3">
      <c r="A157" s="11" t="s">
        <v>300</v>
      </c>
      <c r="B157" s="15">
        <v>45627</v>
      </c>
      <c r="C157" s="11" t="s">
        <v>26</v>
      </c>
      <c r="D157" s="11" t="s">
        <v>27</v>
      </c>
      <c r="E157" s="11" t="s">
        <v>54</v>
      </c>
      <c r="F157" s="11" t="s">
        <v>55</v>
      </c>
      <c r="G157" s="11" t="s">
        <v>21</v>
      </c>
      <c r="H157" s="11">
        <v>2</v>
      </c>
      <c r="I157" s="11">
        <v>149.99</v>
      </c>
      <c r="J157" s="11" t="s">
        <v>22</v>
      </c>
      <c r="K157" s="11" t="s">
        <v>37</v>
      </c>
      <c r="L157" s="11" t="s">
        <v>29</v>
      </c>
      <c r="M157" s="14">
        <v>44475</v>
      </c>
      <c r="N157" s="11">
        <v>299.98</v>
      </c>
      <c r="O157" s="11" t="str">
        <f t="shared" si="18"/>
        <v>Dec</v>
      </c>
      <c r="P157" s="15">
        <f t="shared" ca="1" si="19"/>
        <v>46078</v>
      </c>
      <c r="Q157" s="18">
        <f t="shared" ca="1" si="20"/>
        <v>46078.801391898145</v>
      </c>
      <c r="R157" s="11">
        <f t="shared" ca="1" si="21"/>
        <v>4</v>
      </c>
      <c r="S157" s="15">
        <f t="shared" si="22"/>
        <v>45657</v>
      </c>
      <c r="T157" s="11">
        <f t="shared" si="23"/>
        <v>6949.84</v>
      </c>
      <c r="U157" s="11" t="str">
        <f t="shared" si="24"/>
        <v>Normal</v>
      </c>
      <c r="V157" s="11">
        <f t="shared" si="25"/>
        <v>16</v>
      </c>
      <c r="W157" s="6" t="str">
        <f t="shared" si="26"/>
        <v>J.J</v>
      </c>
    </row>
    <row r="158" spans="1:23" ht="15.75" customHeight="1" x14ac:dyDescent="0.3">
      <c r="A158" s="11" t="s">
        <v>301</v>
      </c>
      <c r="B158" s="15">
        <v>45627</v>
      </c>
      <c r="C158" s="11" t="s">
        <v>88</v>
      </c>
      <c r="D158" s="11" t="s">
        <v>89</v>
      </c>
      <c r="E158" s="11" t="s">
        <v>82</v>
      </c>
      <c r="F158" s="11" t="s">
        <v>83</v>
      </c>
      <c r="G158" s="11" t="s">
        <v>21</v>
      </c>
      <c r="H158" s="11">
        <v>5</v>
      </c>
      <c r="I158" s="11">
        <v>699.99</v>
      </c>
      <c r="J158" s="11" t="s">
        <v>59</v>
      </c>
      <c r="K158" s="11" t="s">
        <v>52</v>
      </c>
      <c r="L158" s="11" t="s">
        <v>38</v>
      </c>
      <c r="M158" s="14">
        <v>44944</v>
      </c>
      <c r="N158" s="11">
        <v>3499.95</v>
      </c>
      <c r="O158" s="11" t="str">
        <f t="shared" si="18"/>
        <v>Dec</v>
      </c>
      <c r="P158" s="15">
        <f t="shared" ca="1" si="19"/>
        <v>46078</v>
      </c>
      <c r="Q158" s="18">
        <f t="shared" ca="1" si="20"/>
        <v>46078.801391898145</v>
      </c>
      <c r="R158" s="11">
        <f t="shared" ca="1" si="21"/>
        <v>3</v>
      </c>
      <c r="S158" s="15">
        <f t="shared" si="22"/>
        <v>45657</v>
      </c>
      <c r="T158" s="11">
        <f t="shared" si="23"/>
        <v>15659.65</v>
      </c>
      <c r="U158" s="11" t="str">
        <f t="shared" si="24"/>
        <v>High</v>
      </c>
      <c r="V158" s="11">
        <f t="shared" si="25"/>
        <v>31</v>
      </c>
      <c r="W158" s="6" t="str">
        <f t="shared" si="26"/>
        <v>M.C</v>
      </c>
    </row>
    <row r="159" spans="1:23" ht="15.75" customHeight="1" x14ac:dyDescent="0.3">
      <c r="A159" s="11" t="s">
        <v>302</v>
      </c>
      <c r="B159" s="15">
        <v>45629</v>
      </c>
      <c r="C159" s="11" t="s">
        <v>254</v>
      </c>
      <c r="D159" s="11" t="s">
        <v>255</v>
      </c>
      <c r="E159" s="11" t="s">
        <v>19</v>
      </c>
      <c r="F159" s="11" t="s">
        <v>20</v>
      </c>
      <c r="G159" s="11" t="s">
        <v>21</v>
      </c>
      <c r="H159" s="11">
        <v>4</v>
      </c>
      <c r="I159" s="11">
        <v>249.99</v>
      </c>
      <c r="J159" s="11" t="s">
        <v>36</v>
      </c>
      <c r="K159" s="11" t="s">
        <v>65</v>
      </c>
      <c r="L159" s="11" t="s">
        <v>29</v>
      </c>
      <c r="M159" s="14">
        <v>45098</v>
      </c>
      <c r="N159" s="11">
        <v>999.96</v>
      </c>
      <c r="O159" s="11" t="str">
        <f t="shared" si="18"/>
        <v>Dec</v>
      </c>
      <c r="P159" s="15">
        <f t="shared" ca="1" si="19"/>
        <v>46078</v>
      </c>
      <c r="Q159" s="18">
        <f t="shared" ca="1" si="20"/>
        <v>46078.801391898145</v>
      </c>
      <c r="R159" s="11">
        <f t="shared" ca="1" si="21"/>
        <v>2</v>
      </c>
      <c r="S159" s="15">
        <f t="shared" si="22"/>
        <v>45657</v>
      </c>
      <c r="T159" s="11">
        <f t="shared" si="23"/>
        <v>4749.91</v>
      </c>
      <c r="U159" s="11" t="str">
        <f t="shared" si="24"/>
        <v>Normal</v>
      </c>
      <c r="V159" s="11">
        <f t="shared" si="25"/>
        <v>26</v>
      </c>
      <c r="W159" s="6" t="str">
        <f t="shared" si="26"/>
        <v>W.W</v>
      </c>
    </row>
    <row r="160" spans="1:23" ht="15.75" customHeight="1" x14ac:dyDescent="0.3">
      <c r="A160" s="11" t="s">
        <v>303</v>
      </c>
      <c r="B160" s="15">
        <v>45630</v>
      </c>
      <c r="C160" s="11" t="s">
        <v>50</v>
      </c>
      <c r="D160" s="11" t="s">
        <v>51</v>
      </c>
      <c r="E160" s="11" t="s">
        <v>82</v>
      </c>
      <c r="F160" s="11" t="s">
        <v>83</v>
      </c>
      <c r="G160" s="11" t="s">
        <v>21</v>
      </c>
      <c r="H160" s="11">
        <v>4</v>
      </c>
      <c r="I160" s="11">
        <v>699.99</v>
      </c>
      <c r="J160" s="11" t="s">
        <v>28</v>
      </c>
      <c r="K160" s="11" t="s">
        <v>42</v>
      </c>
      <c r="L160" s="11" t="s">
        <v>29</v>
      </c>
      <c r="M160" s="14">
        <v>44703</v>
      </c>
      <c r="N160" s="11">
        <v>2799.96</v>
      </c>
      <c r="O160" s="11" t="str">
        <f t="shared" si="18"/>
        <v>Dec</v>
      </c>
      <c r="P160" s="15">
        <f t="shared" ca="1" si="19"/>
        <v>46078</v>
      </c>
      <c r="Q160" s="18">
        <f t="shared" ca="1" si="20"/>
        <v>46078.801391898145</v>
      </c>
      <c r="R160" s="11">
        <f t="shared" ca="1" si="21"/>
        <v>3</v>
      </c>
      <c r="S160" s="15">
        <f t="shared" si="22"/>
        <v>45657</v>
      </c>
      <c r="T160" s="11">
        <f t="shared" si="23"/>
        <v>8269.7900000000009</v>
      </c>
      <c r="U160" s="11" t="str">
        <f t="shared" si="24"/>
        <v>Normal</v>
      </c>
      <c r="V160" s="11">
        <f t="shared" si="25"/>
        <v>31</v>
      </c>
      <c r="W160" s="6" t="str">
        <f t="shared" si="26"/>
        <v>D.N</v>
      </c>
    </row>
    <row r="161" spans="1:23" ht="15.75" customHeight="1" x14ac:dyDescent="0.3">
      <c r="A161" s="11" t="s">
        <v>304</v>
      </c>
      <c r="B161" s="15">
        <v>45635</v>
      </c>
      <c r="C161" s="11" t="s">
        <v>110</v>
      </c>
      <c r="D161" s="11" t="s">
        <v>111</v>
      </c>
      <c r="E161" s="11" t="s">
        <v>19</v>
      </c>
      <c r="F161" s="11" t="s">
        <v>20</v>
      </c>
      <c r="G161" s="11" t="s">
        <v>21</v>
      </c>
      <c r="H161" s="11">
        <v>2</v>
      </c>
      <c r="I161" s="11">
        <v>249.99</v>
      </c>
      <c r="J161" s="11" t="s">
        <v>28</v>
      </c>
      <c r="K161" s="11" t="s">
        <v>23</v>
      </c>
      <c r="L161" s="11" t="s">
        <v>29</v>
      </c>
      <c r="M161" s="14">
        <v>44396</v>
      </c>
      <c r="N161" s="11">
        <v>499.98</v>
      </c>
      <c r="O161" s="11" t="str">
        <f t="shared" si="18"/>
        <v>Dec</v>
      </c>
      <c r="P161" s="15">
        <f t="shared" ca="1" si="19"/>
        <v>46078</v>
      </c>
      <c r="Q161" s="18">
        <f t="shared" ca="1" si="20"/>
        <v>46078.801391898145</v>
      </c>
      <c r="R161" s="11">
        <f t="shared" ca="1" si="21"/>
        <v>4</v>
      </c>
      <c r="S161" s="15">
        <f t="shared" si="22"/>
        <v>45657</v>
      </c>
      <c r="T161" s="11">
        <f t="shared" si="23"/>
        <v>4189.7700000000004</v>
      </c>
      <c r="U161" s="11" t="str">
        <f t="shared" si="24"/>
        <v>Normal</v>
      </c>
      <c r="V161" s="11">
        <f t="shared" si="25"/>
        <v>26</v>
      </c>
      <c r="W161" s="6" t="str">
        <f t="shared" si="26"/>
        <v>N.C</v>
      </c>
    </row>
    <row r="162" spans="1:23" ht="15.75" customHeight="1" x14ac:dyDescent="0.3">
      <c r="A162" s="11" t="s">
        <v>305</v>
      </c>
      <c r="B162" s="15">
        <v>45635</v>
      </c>
      <c r="C162" s="11" t="s">
        <v>306</v>
      </c>
      <c r="D162" s="11" t="s">
        <v>307</v>
      </c>
      <c r="E162" s="11" t="s">
        <v>33</v>
      </c>
      <c r="F162" s="11" t="s">
        <v>34</v>
      </c>
      <c r="G162" s="11" t="s">
        <v>35</v>
      </c>
      <c r="H162" s="11">
        <v>3</v>
      </c>
      <c r="I162" s="11">
        <v>59.99</v>
      </c>
      <c r="J162" s="11" t="s">
        <v>22</v>
      </c>
      <c r="K162" s="11" t="s">
        <v>23</v>
      </c>
      <c r="L162" s="11" t="s">
        <v>29</v>
      </c>
      <c r="M162" s="14">
        <v>45052</v>
      </c>
      <c r="N162" s="11">
        <v>179.97</v>
      </c>
      <c r="O162" s="11" t="str">
        <f t="shared" si="18"/>
        <v>Dec</v>
      </c>
      <c r="P162" s="15">
        <f t="shared" ca="1" si="19"/>
        <v>46078</v>
      </c>
      <c r="Q162" s="18">
        <f t="shared" ca="1" si="20"/>
        <v>46078.801391898145</v>
      </c>
      <c r="R162" s="11">
        <f t="shared" ca="1" si="21"/>
        <v>2</v>
      </c>
      <c r="S162" s="15">
        <f t="shared" si="22"/>
        <v>45657</v>
      </c>
      <c r="T162" s="11">
        <f t="shared" si="23"/>
        <v>179.97</v>
      </c>
      <c r="U162" s="11" t="str">
        <f t="shared" si="24"/>
        <v>Normal</v>
      </c>
      <c r="V162" s="11">
        <f t="shared" si="25"/>
        <v>29</v>
      </c>
      <c r="W162" s="6" t="str">
        <f t="shared" si="26"/>
        <v>J.J</v>
      </c>
    </row>
    <row r="163" spans="1:23" ht="15.75" customHeight="1" x14ac:dyDescent="0.3">
      <c r="A163" s="11" t="s">
        <v>308</v>
      </c>
      <c r="B163" s="15">
        <v>45635</v>
      </c>
      <c r="C163" s="11" t="s">
        <v>143</v>
      </c>
      <c r="D163" s="11" t="s">
        <v>144</v>
      </c>
      <c r="E163" s="11" t="s">
        <v>116</v>
      </c>
      <c r="F163" s="11" t="s">
        <v>117</v>
      </c>
      <c r="G163" s="11" t="s">
        <v>35</v>
      </c>
      <c r="H163" s="11">
        <v>4</v>
      </c>
      <c r="I163" s="11">
        <v>79.989999999999995</v>
      </c>
      <c r="J163" s="11" t="s">
        <v>59</v>
      </c>
      <c r="K163" s="11" t="s">
        <v>65</v>
      </c>
      <c r="L163" s="11" t="s">
        <v>38</v>
      </c>
      <c r="M163" s="14">
        <v>44921</v>
      </c>
      <c r="N163" s="11">
        <v>319.95999999999998</v>
      </c>
      <c r="O163" s="11" t="str">
        <f t="shared" si="18"/>
        <v>Dec</v>
      </c>
      <c r="P163" s="15">
        <f t="shared" ca="1" si="19"/>
        <v>46078</v>
      </c>
      <c r="Q163" s="18">
        <f t="shared" ca="1" si="20"/>
        <v>46078.801391898145</v>
      </c>
      <c r="R163" s="11">
        <f t="shared" ca="1" si="21"/>
        <v>3</v>
      </c>
      <c r="S163" s="15">
        <f t="shared" si="22"/>
        <v>45657</v>
      </c>
      <c r="T163" s="11">
        <f t="shared" si="23"/>
        <v>4739.8500000000004</v>
      </c>
      <c r="U163" s="11" t="str">
        <f t="shared" si="24"/>
        <v>Normal</v>
      </c>
      <c r="V163" s="11">
        <f t="shared" si="25"/>
        <v>14</v>
      </c>
      <c r="W163" s="6" t="str">
        <f t="shared" si="26"/>
        <v>J.T</v>
      </c>
    </row>
    <row r="164" spans="1:23" ht="15.75" customHeight="1" x14ac:dyDescent="0.3">
      <c r="A164" s="11" t="s">
        <v>309</v>
      </c>
      <c r="B164" s="15">
        <v>45636</v>
      </c>
      <c r="C164" s="11" t="s">
        <v>122</v>
      </c>
      <c r="D164" s="11" t="s">
        <v>123</v>
      </c>
      <c r="E164" s="11" t="s">
        <v>116</v>
      </c>
      <c r="F164" s="11" t="s">
        <v>117</v>
      </c>
      <c r="G164" s="11" t="s">
        <v>35</v>
      </c>
      <c r="H164" s="11">
        <v>3</v>
      </c>
      <c r="I164" s="11">
        <v>79.989999999999995</v>
      </c>
      <c r="J164" s="11" t="s">
        <v>59</v>
      </c>
      <c r="K164" s="11" t="s">
        <v>65</v>
      </c>
      <c r="L164" s="11" t="s">
        <v>38</v>
      </c>
      <c r="M164" s="14">
        <v>44779</v>
      </c>
      <c r="N164" s="11">
        <v>239.97</v>
      </c>
      <c r="O164" s="11" t="str">
        <f t="shared" si="18"/>
        <v>Dec</v>
      </c>
      <c r="P164" s="15">
        <f t="shared" ca="1" si="19"/>
        <v>46078</v>
      </c>
      <c r="Q164" s="18">
        <f t="shared" ca="1" si="20"/>
        <v>46078.801391898145</v>
      </c>
      <c r="R164" s="11">
        <f t="shared" ca="1" si="21"/>
        <v>3</v>
      </c>
      <c r="S164" s="15">
        <f t="shared" si="22"/>
        <v>45657</v>
      </c>
      <c r="T164" s="11">
        <f t="shared" si="23"/>
        <v>6459.79</v>
      </c>
      <c r="U164" s="11" t="str">
        <f t="shared" si="24"/>
        <v>Normal</v>
      </c>
      <c r="V164" s="11">
        <f t="shared" si="25"/>
        <v>14</v>
      </c>
      <c r="W164" s="6" t="str">
        <f t="shared" si="26"/>
        <v>H.R</v>
      </c>
    </row>
    <row r="165" spans="1:23" ht="15.75" customHeight="1" x14ac:dyDescent="0.3">
      <c r="A165" s="11" t="s">
        <v>310</v>
      </c>
      <c r="B165" s="15">
        <v>45638</v>
      </c>
      <c r="C165" s="11" t="s">
        <v>74</v>
      </c>
      <c r="D165" s="11" t="s">
        <v>75</v>
      </c>
      <c r="E165" s="11" t="s">
        <v>63</v>
      </c>
      <c r="F165" s="11" t="s">
        <v>64</v>
      </c>
      <c r="G165" s="11" t="s">
        <v>21</v>
      </c>
      <c r="H165" s="11">
        <v>2</v>
      </c>
      <c r="I165" s="11">
        <v>899.99</v>
      </c>
      <c r="J165" s="11" t="s">
        <v>22</v>
      </c>
      <c r="K165" s="11" t="s">
        <v>42</v>
      </c>
      <c r="L165" s="11" t="s">
        <v>24</v>
      </c>
      <c r="M165" s="14">
        <v>44406</v>
      </c>
      <c r="N165" s="11">
        <v>1799.98</v>
      </c>
      <c r="O165" s="11" t="str">
        <f t="shared" si="18"/>
        <v>Dec</v>
      </c>
      <c r="P165" s="15">
        <f t="shared" ca="1" si="19"/>
        <v>46078</v>
      </c>
      <c r="Q165" s="18">
        <f t="shared" ca="1" si="20"/>
        <v>46078.801391898145</v>
      </c>
      <c r="R165" s="11">
        <f t="shared" ca="1" si="21"/>
        <v>4</v>
      </c>
      <c r="S165" s="15">
        <f t="shared" si="22"/>
        <v>45657</v>
      </c>
      <c r="T165" s="11">
        <f t="shared" si="23"/>
        <v>5949.85</v>
      </c>
      <c r="U165" s="11" t="str">
        <f t="shared" si="24"/>
        <v>Normal</v>
      </c>
      <c r="V165" s="11">
        <f t="shared" si="25"/>
        <v>24</v>
      </c>
      <c r="W165" s="6" t="str">
        <f t="shared" si="26"/>
        <v>P.R</v>
      </c>
    </row>
    <row r="166" spans="1:23" ht="15.75" customHeight="1" x14ac:dyDescent="0.3">
      <c r="A166" s="11" t="s">
        <v>311</v>
      </c>
      <c r="B166" s="15">
        <v>45641</v>
      </c>
      <c r="C166" s="11" t="s">
        <v>184</v>
      </c>
      <c r="D166" s="11" t="s">
        <v>185</v>
      </c>
      <c r="E166" s="11" t="s">
        <v>46</v>
      </c>
      <c r="F166" s="11" t="s">
        <v>47</v>
      </c>
      <c r="G166" s="11" t="s">
        <v>48</v>
      </c>
      <c r="H166" s="11">
        <v>1</v>
      </c>
      <c r="I166" s="11">
        <v>149.99</v>
      </c>
      <c r="J166" s="11" t="s">
        <v>59</v>
      </c>
      <c r="K166" s="11" t="s">
        <v>65</v>
      </c>
      <c r="L166" s="11" t="s">
        <v>38</v>
      </c>
      <c r="M166" s="14">
        <v>45200</v>
      </c>
      <c r="N166" s="11">
        <v>149.99</v>
      </c>
      <c r="O166" s="11" t="str">
        <f t="shared" si="18"/>
        <v>Dec</v>
      </c>
      <c r="P166" s="15">
        <f t="shared" ca="1" si="19"/>
        <v>46078</v>
      </c>
      <c r="Q166" s="18">
        <f t="shared" ca="1" si="20"/>
        <v>46078.801391898145</v>
      </c>
      <c r="R166" s="11">
        <f t="shared" ca="1" si="21"/>
        <v>2</v>
      </c>
      <c r="S166" s="15">
        <f t="shared" si="22"/>
        <v>45657</v>
      </c>
      <c r="T166" s="11">
        <f t="shared" si="23"/>
        <v>1809.84</v>
      </c>
      <c r="U166" s="11" t="str">
        <f t="shared" si="24"/>
        <v>Normal</v>
      </c>
      <c r="V166" s="11">
        <f t="shared" si="25"/>
        <v>35</v>
      </c>
      <c r="W166" s="6" t="str">
        <f t="shared" si="26"/>
        <v>D.M</v>
      </c>
    </row>
    <row r="167" spans="1:23" ht="15.75" customHeight="1" x14ac:dyDescent="0.3">
      <c r="A167" s="11" t="s">
        <v>312</v>
      </c>
      <c r="B167" s="15">
        <v>45641</v>
      </c>
      <c r="C167" s="11" t="s">
        <v>140</v>
      </c>
      <c r="D167" s="11" t="s">
        <v>141</v>
      </c>
      <c r="E167" s="11" t="s">
        <v>107</v>
      </c>
      <c r="F167" s="11" t="s">
        <v>108</v>
      </c>
      <c r="G167" s="11" t="s">
        <v>48</v>
      </c>
      <c r="H167" s="11">
        <v>2</v>
      </c>
      <c r="I167" s="11">
        <v>299.99</v>
      </c>
      <c r="J167" s="11" t="s">
        <v>22</v>
      </c>
      <c r="K167" s="11" t="s">
        <v>65</v>
      </c>
      <c r="L167" s="11" t="s">
        <v>29</v>
      </c>
      <c r="M167" s="14">
        <v>44724</v>
      </c>
      <c r="N167" s="11">
        <v>599.98</v>
      </c>
      <c r="O167" s="11" t="str">
        <f t="shared" si="18"/>
        <v>Dec</v>
      </c>
      <c r="P167" s="15">
        <f t="shared" ca="1" si="19"/>
        <v>46078</v>
      </c>
      <c r="Q167" s="18">
        <f t="shared" ca="1" si="20"/>
        <v>46078.801391898145</v>
      </c>
      <c r="R167" s="11">
        <f t="shared" ca="1" si="21"/>
        <v>3</v>
      </c>
      <c r="S167" s="15">
        <f t="shared" si="22"/>
        <v>45657</v>
      </c>
      <c r="T167" s="11">
        <f t="shared" si="23"/>
        <v>2649.83</v>
      </c>
      <c r="U167" s="11" t="str">
        <f t="shared" si="24"/>
        <v>Normal</v>
      </c>
      <c r="V167" s="11">
        <f t="shared" si="25"/>
        <v>26</v>
      </c>
      <c r="W167" s="6" t="str">
        <f t="shared" si="26"/>
        <v>S.T</v>
      </c>
    </row>
    <row r="168" spans="1:23" ht="15.75" customHeight="1" x14ac:dyDescent="0.3">
      <c r="A168" s="11" t="s">
        <v>313</v>
      </c>
      <c r="B168" s="15">
        <v>45644</v>
      </c>
      <c r="C168" s="11" t="s">
        <v>134</v>
      </c>
      <c r="D168" s="11" t="s">
        <v>135</v>
      </c>
      <c r="E168" s="11" t="s">
        <v>33</v>
      </c>
      <c r="F168" s="11" t="s">
        <v>34</v>
      </c>
      <c r="G168" s="11" t="s">
        <v>35</v>
      </c>
      <c r="H168" s="11">
        <v>2</v>
      </c>
      <c r="I168" s="11">
        <v>59.99</v>
      </c>
      <c r="J168" s="11" t="s">
        <v>22</v>
      </c>
      <c r="K168" s="11" t="s">
        <v>52</v>
      </c>
      <c r="L168" s="11" t="s">
        <v>24</v>
      </c>
      <c r="M168" s="14">
        <v>45191</v>
      </c>
      <c r="N168" s="11">
        <v>119.98</v>
      </c>
      <c r="O168" s="11" t="str">
        <f t="shared" si="18"/>
        <v>Dec</v>
      </c>
      <c r="P168" s="15">
        <f t="shared" ca="1" si="19"/>
        <v>46078</v>
      </c>
      <c r="Q168" s="18">
        <f t="shared" ca="1" si="20"/>
        <v>46078.801391898145</v>
      </c>
      <c r="R168" s="11">
        <f t="shared" ca="1" si="21"/>
        <v>2</v>
      </c>
      <c r="S168" s="15">
        <f t="shared" si="22"/>
        <v>45657</v>
      </c>
      <c r="T168" s="11">
        <f t="shared" si="23"/>
        <v>1229.8800000000001</v>
      </c>
      <c r="U168" s="11" t="str">
        <f t="shared" si="24"/>
        <v>Normal</v>
      </c>
      <c r="V168" s="11">
        <f t="shared" si="25"/>
        <v>29</v>
      </c>
      <c r="W168" s="6" t="str">
        <f t="shared" si="26"/>
        <v>E.W</v>
      </c>
    </row>
    <row r="169" spans="1:23" ht="15.75" customHeight="1" x14ac:dyDescent="0.3">
      <c r="A169" s="11" t="s">
        <v>314</v>
      </c>
      <c r="B169" s="15">
        <v>45645</v>
      </c>
      <c r="C169" s="11" t="s">
        <v>184</v>
      </c>
      <c r="D169" s="11" t="s">
        <v>185</v>
      </c>
      <c r="E169" s="11" t="s">
        <v>119</v>
      </c>
      <c r="F169" s="11" t="s">
        <v>120</v>
      </c>
      <c r="G169" s="11" t="s">
        <v>21</v>
      </c>
      <c r="H169" s="11">
        <v>1</v>
      </c>
      <c r="I169" s="11">
        <v>89.99</v>
      </c>
      <c r="J169" s="11" t="s">
        <v>59</v>
      </c>
      <c r="K169" s="11" t="s">
        <v>23</v>
      </c>
      <c r="L169" s="11" t="s">
        <v>38</v>
      </c>
      <c r="M169" s="14">
        <v>44760</v>
      </c>
      <c r="N169" s="11">
        <v>89.99</v>
      </c>
      <c r="O169" s="11" t="str">
        <f t="shared" si="18"/>
        <v>Dec</v>
      </c>
      <c r="P169" s="15">
        <f t="shared" ca="1" si="19"/>
        <v>46078</v>
      </c>
      <c r="Q169" s="18">
        <f t="shared" ca="1" si="20"/>
        <v>46078.801391898145</v>
      </c>
      <c r="R169" s="11">
        <f t="shared" ca="1" si="21"/>
        <v>3</v>
      </c>
      <c r="S169" s="15">
        <f t="shared" si="22"/>
        <v>45657</v>
      </c>
      <c r="T169" s="11">
        <f t="shared" si="23"/>
        <v>1809.84</v>
      </c>
      <c r="U169" s="11" t="str">
        <f t="shared" si="24"/>
        <v>Normal</v>
      </c>
      <c r="V169" s="11">
        <f t="shared" si="25"/>
        <v>34</v>
      </c>
      <c r="W169" s="6" t="str">
        <f t="shared" si="26"/>
        <v>D.M</v>
      </c>
    </row>
    <row r="170" spans="1:23" ht="15.75" customHeight="1" x14ac:dyDescent="0.3">
      <c r="A170" s="11" t="s">
        <v>315</v>
      </c>
      <c r="B170" s="15">
        <v>45645</v>
      </c>
      <c r="C170" s="11" t="s">
        <v>149</v>
      </c>
      <c r="D170" s="11" t="s">
        <v>150</v>
      </c>
      <c r="E170" s="11" t="s">
        <v>63</v>
      </c>
      <c r="F170" s="11" t="s">
        <v>64</v>
      </c>
      <c r="G170" s="11" t="s">
        <v>21</v>
      </c>
      <c r="H170" s="11">
        <v>5</v>
      </c>
      <c r="I170" s="11">
        <v>899.99</v>
      </c>
      <c r="J170" s="11" t="s">
        <v>59</v>
      </c>
      <c r="K170" s="11" t="s">
        <v>65</v>
      </c>
      <c r="L170" s="11" t="s">
        <v>38</v>
      </c>
      <c r="M170" s="14">
        <v>44625</v>
      </c>
      <c r="N170" s="11">
        <v>4499.95</v>
      </c>
      <c r="O170" s="11" t="str">
        <f t="shared" si="18"/>
        <v>Dec</v>
      </c>
      <c r="P170" s="15">
        <f t="shared" ca="1" si="19"/>
        <v>46078</v>
      </c>
      <c r="Q170" s="18">
        <f t="shared" ca="1" si="20"/>
        <v>46078.801391898145</v>
      </c>
      <c r="R170" s="11">
        <f t="shared" ca="1" si="21"/>
        <v>3</v>
      </c>
      <c r="S170" s="15">
        <f t="shared" si="22"/>
        <v>45657</v>
      </c>
      <c r="T170" s="11">
        <f t="shared" si="23"/>
        <v>7309.7999999999993</v>
      </c>
      <c r="U170" s="11" t="str">
        <f t="shared" si="24"/>
        <v>Normal</v>
      </c>
      <c r="V170" s="11">
        <f t="shared" si="25"/>
        <v>24</v>
      </c>
      <c r="W170" s="6" t="str">
        <f t="shared" si="26"/>
        <v>D.K</v>
      </c>
    </row>
    <row r="171" spans="1:23" ht="15.75" customHeight="1" x14ac:dyDescent="0.3">
      <c r="A171" s="11" t="s">
        <v>316</v>
      </c>
      <c r="B171" s="15">
        <v>45646</v>
      </c>
      <c r="C171" s="11" t="s">
        <v>44</v>
      </c>
      <c r="D171" s="11" t="s">
        <v>45</v>
      </c>
      <c r="E171" s="11" t="s">
        <v>46</v>
      </c>
      <c r="F171" s="11" t="s">
        <v>47</v>
      </c>
      <c r="G171" s="11" t="s">
        <v>48</v>
      </c>
      <c r="H171" s="11">
        <v>2</v>
      </c>
      <c r="I171" s="11">
        <v>149.99</v>
      </c>
      <c r="J171" s="11" t="s">
        <v>22</v>
      </c>
      <c r="K171" s="11" t="s">
        <v>37</v>
      </c>
      <c r="L171" s="11" t="s">
        <v>24</v>
      </c>
      <c r="M171" s="14">
        <v>45239</v>
      </c>
      <c r="N171" s="11">
        <v>299.98</v>
      </c>
      <c r="O171" s="11" t="str">
        <f t="shared" si="18"/>
        <v>Dec</v>
      </c>
      <c r="P171" s="15">
        <f t="shared" ca="1" si="19"/>
        <v>46078</v>
      </c>
      <c r="Q171" s="18">
        <f t="shared" ca="1" si="20"/>
        <v>46078.801391898145</v>
      </c>
      <c r="R171" s="11">
        <f t="shared" ca="1" si="21"/>
        <v>2</v>
      </c>
      <c r="S171" s="15">
        <f t="shared" si="22"/>
        <v>45657</v>
      </c>
      <c r="T171" s="11">
        <f t="shared" si="23"/>
        <v>6169.7400000000007</v>
      </c>
      <c r="U171" s="11" t="str">
        <f t="shared" si="24"/>
        <v>Normal</v>
      </c>
      <c r="V171" s="11">
        <f t="shared" si="25"/>
        <v>35</v>
      </c>
      <c r="W171" s="6" t="str">
        <f t="shared" si="26"/>
        <v>M.B</v>
      </c>
    </row>
    <row r="172" spans="1:23" ht="15.75" customHeight="1" x14ac:dyDescent="0.3">
      <c r="A172" s="11" t="s">
        <v>317</v>
      </c>
      <c r="B172" s="15">
        <v>45648</v>
      </c>
      <c r="C172" s="11" t="s">
        <v>114</v>
      </c>
      <c r="D172" s="11" t="s">
        <v>115</v>
      </c>
      <c r="E172" s="11" t="s">
        <v>54</v>
      </c>
      <c r="F172" s="11" t="s">
        <v>55</v>
      </c>
      <c r="G172" s="11" t="s">
        <v>21</v>
      </c>
      <c r="H172" s="11">
        <v>2</v>
      </c>
      <c r="I172" s="11">
        <v>149.99</v>
      </c>
      <c r="J172" s="11" t="s">
        <v>59</v>
      </c>
      <c r="K172" s="11" t="s">
        <v>52</v>
      </c>
      <c r="L172" s="11" t="s">
        <v>29</v>
      </c>
      <c r="M172" s="14">
        <v>45280</v>
      </c>
      <c r="N172" s="11">
        <v>299.98</v>
      </c>
      <c r="O172" s="11" t="str">
        <f t="shared" si="18"/>
        <v>Dec</v>
      </c>
      <c r="P172" s="15">
        <f t="shared" ca="1" si="19"/>
        <v>46078</v>
      </c>
      <c r="Q172" s="18">
        <f t="shared" ca="1" si="20"/>
        <v>46078.801391898145</v>
      </c>
      <c r="R172" s="11">
        <f t="shared" ca="1" si="21"/>
        <v>2</v>
      </c>
      <c r="S172" s="15">
        <f t="shared" si="22"/>
        <v>45657</v>
      </c>
      <c r="T172" s="11">
        <f t="shared" si="23"/>
        <v>1289.9000000000001</v>
      </c>
      <c r="U172" s="11" t="str">
        <f t="shared" si="24"/>
        <v>Normal</v>
      </c>
      <c r="V172" s="11">
        <f t="shared" si="25"/>
        <v>16</v>
      </c>
      <c r="W172" s="6" t="str">
        <f t="shared" si="26"/>
        <v>L.M</v>
      </c>
    </row>
    <row r="173" spans="1:23" ht="15.75" customHeight="1" x14ac:dyDescent="0.3">
      <c r="A173" s="11" t="s">
        <v>318</v>
      </c>
      <c r="B173" s="15">
        <v>45648</v>
      </c>
      <c r="C173" s="11" t="s">
        <v>184</v>
      </c>
      <c r="D173" s="11" t="s">
        <v>185</v>
      </c>
      <c r="E173" s="11" t="s">
        <v>46</v>
      </c>
      <c r="F173" s="11" t="s">
        <v>47</v>
      </c>
      <c r="G173" s="11" t="s">
        <v>48</v>
      </c>
      <c r="H173" s="11">
        <v>3</v>
      </c>
      <c r="I173" s="11">
        <v>149.99</v>
      </c>
      <c r="J173" s="11" t="s">
        <v>59</v>
      </c>
      <c r="K173" s="11" t="s">
        <v>42</v>
      </c>
      <c r="L173" s="11" t="s">
        <v>38</v>
      </c>
      <c r="M173" s="14">
        <v>44522</v>
      </c>
      <c r="N173" s="11">
        <v>449.97</v>
      </c>
      <c r="O173" s="11" t="str">
        <f t="shared" si="18"/>
        <v>Dec</v>
      </c>
      <c r="P173" s="15">
        <f t="shared" ca="1" si="19"/>
        <v>46078</v>
      </c>
      <c r="Q173" s="18">
        <f t="shared" ca="1" si="20"/>
        <v>46078.801391898145</v>
      </c>
      <c r="R173" s="11">
        <f t="shared" ca="1" si="21"/>
        <v>4</v>
      </c>
      <c r="S173" s="15">
        <f t="shared" si="22"/>
        <v>45657</v>
      </c>
      <c r="T173" s="11">
        <f t="shared" si="23"/>
        <v>1809.84</v>
      </c>
      <c r="U173" s="11" t="str">
        <f t="shared" si="24"/>
        <v>Normal</v>
      </c>
      <c r="V173" s="11">
        <f t="shared" si="25"/>
        <v>35</v>
      </c>
      <c r="W173" s="6" t="str">
        <f t="shared" si="26"/>
        <v>D.M</v>
      </c>
    </row>
    <row r="174" spans="1:23" ht="15.75" customHeight="1" x14ac:dyDescent="0.3">
      <c r="A174" s="11" t="s">
        <v>319</v>
      </c>
      <c r="B174" s="15">
        <v>45649</v>
      </c>
      <c r="C174" s="11" t="s">
        <v>31</v>
      </c>
      <c r="D174" s="11" t="s">
        <v>32</v>
      </c>
      <c r="E174" s="11" t="s">
        <v>107</v>
      </c>
      <c r="F174" s="11" t="s">
        <v>108</v>
      </c>
      <c r="G174" s="11" t="s">
        <v>48</v>
      </c>
      <c r="H174" s="11">
        <v>2</v>
      </c>
      <c r="I174" s="11">
        <v>299.99</v>
      </c>
      <c r="J174" s="11" t="s">
        <v>36</v>
      </c>
      <c r="K174" s="11" t="s">
        <v>37</v>
      </c>
      <c r="L174" s="11" t="s">
        <v>24</v>
      </c>
      <c r="M174" s="14">
        <v>44721</v>
      </c>
      <c r="N174" s="11">
        <v>599.98</v>
      </c>
      <c r="O174" s="11" t="str">
        <f t="shared" si="18"/>
        <v>Dec</v>
      </c>
      <c r="P174" s="15">
        <f t="shared" ca="1" si="19"/>
        <v>46078</v>
      </c>
      <c r="Q174" s="18">
        <f t="shared" ca="1" si="20"/>
        <v>46078.801391898145</v>
      </c>
      <c r="R174" s="11">
        <f t="shared" ca="1" si="21"/>
        <v>3</v>
      </c>
      <c r="S174" s="15">
        <f t="shared" si="22"/>
        <v>45657</v>
      </c>
      <c r="T174" s="11">
        <f t="shared" si="23"/>
        <v>3259.87</v>
      </c>
      <c r="U174" s="11" t="str">
        <f t="shared" si="24"/>
        <v>Normal</v>
      </c>
      <c r="V174" s="11">
        <f t="shared" si="25"/>
        <v>26</v>
      </c>
      <c r="W174" s="6" t="str">
        <f t="shared" si="26"/>
        <v>K.S</v>
      </c>
    </row>
    <row r="175" spans="1:23" ht="15.75" customHeight="1" x14ac:dyDescent="0.3">
      <c r="A175" s="11" t="s">
        <v>320</v>
      </c>
      <c r="B175" s="15">
        <v>45654</v>
      </c>
      <c r="C175" s="11" t="s">
        <v>44</v>
      </c>
      <c r="D175" s="11" t="s">
        <v>45</v>
      </c>
      <c r="E175" s="11" t="s">
        <v>107</v>
      </c>
      <c r="F175" s="11" t="s">
        <v>108</v>
      </c>
      <c r="G175" s="11" t="s">
        <v>48</v>
      </c>
      <c r="H175" s="11">
        <v>2</v>
      </c>
      <c r="I175" s="11">
        <v>299.99</v>
      </c>
      <c r="J175" s="11" t="s">
        <v>22</v>
      </c>
      <c r="K175" s="11" t="s">
        <v>52</v>
      </c>
      <c r="L175" s="11" t="s">
        <v>24</v>
      </c>
      <c r="M175" s="14">
        <v>44771</v>
      </c>
      <c r="N175" s="11">
        <v>599.98</v>
      </c>
      <c r="O175" s="11" t="str">
        <f t="shared" si="18"/>
        <v>Dec</v>
      </c>
      <c r="P175" s="15">
        <f t="shared" ca="1" si="19"/>
        <v>46078</v>
      </c>
      <c r="Q175" s="18">
        <f t="shared" ca="1" si="20"/>
        <v>46078.801391898145</v>
      </c>
      <c r="R175" s="11">
        <f t="shared" ca="1" si="21"/>
        <v>3</v>
      </c>
      <c r="S175" s="15">
        <f t="shared" si="22"/>
        <v>45657</v>
      </c>
      <c r="T175" s="11">
        <f t="shared" si="23"/>
        <v>6169.7400000000007</v>
      </c>
      <c r="U175" s="11" t="str">
        <f t="shared" si="24"/>
        <v>Normal</v>
      </c>
      <c r="V175" s="11">
        <f t="shared" si="25"/>
        <v>26</v>
      </c>
      <c r="W175" s="6" t="str">
        <f t="shared" si="26"/>
        <v>M.B</v>
      </c>
    </row>
    <row r="176" spans="1:23" ht="15.75" customHeight="1" x14ac:dyDescent="0.3">
      <c r="A176" s="11" t="s">
        <v>321</v>
      </c>
      <c r="B176" s="15">
        <v>45654</v>
      </c>
      <c r="C176" s="11" t="s">
        <v>122</v>
      </c>
      <c r="D176" s="11" t="s">
        <v>123</v>
      </c>
      <c r="E176" s="11" t="s">
        <v>128</v>
      </c>
      <c r="F176" s="11" t="s">
        <v>129</v>
      </c>
      <c r="G176" s="11" t="s">
        <v>48</v>
      </c>
      <c r="H176" s="11">
        <v>4</v>
      </c>
      <c r="I176" s="11">
        <v>199.99</v>
      </c>
      <c r="J176" s="11" t="s">
        <v>28</v>
      </c>
      <c r="K176" s="11" t="s">
        <v>23</v>
      </c>
      <c r="L176" s="11" t="s">
        <v>24</v>
      </c>
      <c r="M176" s="14">
        <v>44523</v>
      </c>
      <c r="N176" s="11">
        <v>799.96</v>
      </c>
      <c r="O176" s="11" t="str">
        <f t="shared" si="18"/>
        <v>Dec</v>
      </c>
      <c r="P176" s="15">
        <f t="shared" ca="1" si="19"/>
        <v>46078</v>
      </c>
      <c r="Q176" s="18">
        <f t="shared" ca="1" si="20"/>
        <v>46078.801391898145</v>
      </c>
      <c r="R176" s="11">
        <f t="shared" ca="1" si="21"/>
        <v>4</v>
      </c>
      <c r="S176" s="15">
        <f t="shared" si="22"/>
        <v>45657</v>
      </c>
      <c r="T176" s="11">
        <f t="shared" si="23"/>
        <v>6459.79</v>
      </c>
      <c r="U176" s="11" t="str">
        <f t="shared" si="24"/>
        <v>Normal</v>
      </c>
      <c r="V176" s="11">
        <f t="shared" si="25"/>
        <v>15</v>
      </c>
      <c r="W176" s="6" t="str">
        <f t="shared" si="26"/>
        <v>H.R</v>
      </c>
    </row>
    <row r="177" spans="1:23" ht="15.75" customHeight="1" x14ac:dyDescent="0.3">
      <c r="A177" s="11" t="s">
        <v>322</v>
      </c>
      <c r="B177" s="15">
        <v>45655</v>
      </c>
      <c r="C177" s="11" t="s">
        <v>61</v>
      </c>
      <c r="D177" s="11" t="s">
        <v>62</v>
      </c>
      <c r="E177" s="11" t="s">
        <v>119</v>
      </c>
      <c r="F177" s="11" t="s">
        <v>120</v>
      </c>
      <c r="G177" s="11" t="s">
        <v>21</v>
      </c>
      <c r="H177" s="11">
        <v>1</v>
      </c>
      <c r="I177" s="11">
        <v>89.99</v>
      </c>
      <c r="J177" s="11" t="s">
        <v>28</v>
      </c>
      <c r="K177" s="11" t="s">
        <v>37</v>
      </c>
      <c r="L177" s="11" t="s">
        <v>29</v>
      </c>
      <c r="M177" s="14">
        <v>44591</v>
      </c>
      <c r="N177" s="11">
        <v>89.99</v>
      </c>
      <c r="O177" s="11" t="str">
        <f t="shared" si="18"/>
        <v>Dec</v>
      </c>
      <c r="P177" s="15">
        <f t="shared" ca="1" si="19"/>
        <v>46078</v>
      </c>
      <c r="Q177" s="18">
        <f t="shared" ca="1" si="20"/>
        <v>46078.801391898145</v>
      </c>
      <c r="R177" s="11">
        <f t="shared" ca="1" si="21"/>
        <v>4</v>
      </c>
      <c r="S177" s="15">
        <f t="shared" si="22"/>
        <v>45657</v>
      </c>
      <c r="T177" s="11">
        <f t="shared" si="23"/>
        <v>3509.8999999999996</v>
      </c>
      <c r="U177" s="11" t="str">
        <f t="shared" si="24"/>
        <v>Normal</v>
      </c>
      <c r="V177" s="11">
        <f t="shared" si="25"/>
        <v>34</v>
      </c>
      <c r="W177" s="6" t="str">
        <f t="shared" si="26"/>
        <v>R.T</v>
      </c>
    </row>
    <row r="178" spans="1:23" ht="15.75" customHeight="1" x14ac:dyDescent="0.3">
      <c r="A178" s="11" t="s">
        <v>323</v>
      </c>
      <c r="B178" s="15">
        <v>45655</v>
      </c>
      <c r="C178" s="11" t="s">
        <v>110</v>
      </c>
      <c r="D178" s="11" t="s">
        <v>111</v>
      </c>
      <c r="E178" s="11" t="s">
        <v>46</v>
      </c>
      <c r="F178" s="11" t="s">
        <v>47</v>
      </c>
      <c r="G178" s="11" t="s">
        <v>48</v>
      </c>
      <c r="H178" s="11">
        <v>5</v>
      </c>
      <c r="I178" s="11">
        <v>149.99</v>
      </c>
      <c r="J178" s="11" t="s">
        <v>22</v>
      </c>
      <c r="K178" s="11" t="s">
        <v>23</v>
      </c>
      <c r="L178" s="11" t="s">
        <v>29</v>
      </c>
      <c r="M178" s="14">
        <v>45347</v>
      </c>
      <c r="N178" s="11">
        <v>749.95</v>
      </c>
      <c r="O178" s="11" t="str">
        <f t="shared" si="18"/>
        <v>Dec</v>
      </c>
      <c r="P178" s="15">
        <f t="shared" ca="1" si="19"/>
        <v>46078</v>
      </c>
      <c r="Q178" s="18">
        <f t="shared" ca="1" si="20"/>
        <v>46078.801391898145</v>
      </c>
      <c r="R178" s="11">
        <f t="shared" ca="1" si="21"/>
        <v>2</v>
      </c>
      <c r="S178" s="15">
        <f t="shared" si="22"/>
        <v>45657</v>
      </c>
      <c r="T178" s="11">
        <f t="shared" si="23"/>
        <v>4189.7700000000004</v>
      </c>
      <c r="U178" s="11" t="str">
        <f t="shared" si="24"/>
        <v>Normal</v>
      </c>
      <c r="V178" s="11">
        <f t="shared" si="25"/>
        <v>35</v>
      </c>
      <c r="W178" s="6" t="str">
        <f t="shared" si="26"/>
        <v>N.C</v>
      </c>
    </row>
    <row r="179" spans="1:23" ht="15.75" customHeight="1" x14ac:dyDescent="0.3">
      <c r="A179" s="11" t="s">
        <v>324</v>
      </c>
      <c r="B179" s="15">
        <v>45657</v>
      </c>
      <c r="C179" s="11" t="s">
        <v>88</v>
      </c>
      <c r="D179" s="11" t="s">
        <v>89</v>
      </c>
      <c r="E179" s="11" t="s">
        <v>63</v>
      </c>
      <c r="F179" s="11" t="s">
        <v>64</v>
      </c>
      <c r="G179" s="11" t="s">
        <v>21</v>
      </c>
      <c r="H179" s="11">
        <v>1</v>
      </c>
      <c r="I179" s="11">
        <v>899.99</v>
      </c>
      <c r="J179" s="11" t="s">
        <v>36</v>
      </c>
      <c r="K179" s="11" t="s">
        <v>42</v>
      </c>
      <c r="L179" s="11" t="s">
        <v>29</v>
      </c>
      <c r="M179" s="14">
        <v>45050</v>
      </c>
      <c r="N179" s="11">
        <v>899.99</v>
      </c>
      <c r="O179" s="11" t="str">
        <f t="shared" si="18"/>
        <v>Dec</v>
      </c>
      <c r="P179" s="15">
        <f t="shared" ca="1" si="19"/>
        <v>46078</v>
      </c>
      <c r="Q179" s="18">
        <f t="shared" ca="1" si="20"/>
        <v>46078.801391898145</v>
      </c>
      <c r="R179" s="11">
        <f t="shared" ca="1" si="21"/>
        <v>2</v>
      </c>
      <c r="S179" s="15">
        <f t="shared" si="22"/>
        <v>45657</v>
      </c>
      <c r="T179" s="11">
        <f t="shared" si="23"/>
        <v>15659.65</v>
      </c>
      <c r="U179" s="11" t="str">
        <f t="shared" si="24"/>
        <v>High</v>
      </c>
      <c r="V179" s="11">
        <f t="shared" si="25"/>
        <v>24</v>
      </c>
      <c r="W179" s="6" t="str">
        <f t="shared" si="26"/>
        <v>M.C</v>
      </c>
    </row>
    <row r="180" spans="1:23" ht="15.75" customHeight="1" x14ac:dyDescent="0.3">
      <c r="A180" s="11" t="s">
        <v>325</v>
      </c>
      <c r="B180" s="15">
        <v>45660</v>
      </c>
      <c r="C180" s="11" t="s">
        <v>149</v>
      </c>
      <c r="D180" s="11" t="s">
        <v>150</v>
      </c>
      <c r="E180" s="11" t="s">
        <v>119</v>
      </c>
      <c r="F180" s="11" t="s">
        <v>120</v>
      </c>
      <c r="G180" s="11" t="s">
        <v>21</v>
      </c>
      <c r="H180" s="11">
        <v>2</v>
      </c>
      <c r="I180" s="11">
        <v>89.99</v>
      </c>
      <c r="J180" s="11" t="s">
        <v>28</v>
      </c>
      <c r="K180" s="11" t="s">
        <v>37</v>
      </c>
      <c r="L180" s="11" t="s">
        <v>29</v>
      </c>
      <c r="M180" s="14">
        <v>44564</v>
      </c>
      <c r="N180" s="11">
        <v>179.98</v>
      </c>
      <c r="O180" s="11" t="str">
        <f t="shared" si="18"/>
        <v>Jan</v>
      </c>
      <c r="P180" s="15">
        <f t="shared" ca="1" si="19"/>
        <v>46078</v>
      </c>
      <c r="Q180" s="18">
        <f t="shared" ca="1" si="20"/>
        <v>46078.801391898145</v>
      </c>
      <c r="R180" s="11">
        <f t="shared" ca="1" si="21"/>
        <v>4</v>
      </c>
      <c r="S180" s="15">
        <f t="shared" si="22"/>
        <v>45688</v>
      </c>
      <c r="T180" s="11">
        <f t="shared" si="23"/>
        <v>7309.7999999999993</v>
      </c>
      <c r="U180" s="11" t="str">
        <f t="shared" si="24"/>
        <v>Normal</v>
      </c>
      <c r="V180" s="11">
        <f t="shared" si="25"/>
        <v>34</v>
      </c>
      <c r="W180" s="6" t="str">
        <f t="shared" si="26"/>
        <v>D.K</v>
      </c>
    </row>
    <row r="181" spans="1:23" ht="15.75" customHeight="1" x14ac:dyDescent="0.3">
      <c r="A181" s="11" t="s">
        <v>326</v>
      </c>
      <c r="B181" s="15">
        <v>45661</v>
      </c>
      <c r="C181" s="11" t="s">
        <v>327</v>
      </c>
      <c r="D181" s="11" t="s">
        <v>328</v>
      </c>
      <c r="E181" s="11" t="s">
        <v>63</v>
      </c>
      <c r="F181" s="11" t="s">
        <v>64</v>
      </c>
      <c r="G181" s="11" t="s">
        <v>21</v>
      </c>
      <c r="H181" s="11">
        <v>1</v>
      </c>
      <c r="I181" s="11">
        <v>899.99</v>
      </c>
      <c r="J181" s="11" t="s">
        <v>36</v>
      </c>
      <c r="K181" s="11" t="s">
        <v>42</v>
      </c>
      <c r="L181" s="11" t="s">
        <v>38</v>
      </c>
      <c r="M181" s="14">
        <v>44752</v>
      </c>
      <c r="N181" s="11">
        <v>899.99</v>
      </c>
      <c r="O181" s="11" t="str">
        <f t="shared" si="18"/>
        <v>Jan</v>
      </c>
      <c r="P181" s="15">
        <f t="shared" ca="1" si="19"/>
        <v>46078</v>
      </c>
      <c r="Q181" s="18">
        <f t="shared" ca="1" si="20"/>
        <v>46078.801391898145</v>
      </c>
      <c r="R181" s="11">
        <f t="shared" ca="1" si="21"/>
        <v>3</v>
      </c>
      <c r="S181" s="15">
        <f t="shared" si="22"/>
        <v>45688</v>
      </c>
      <c r="T181" s="11">
        <f t="shared" si="23"/>
        <v>1559.94</v>
      </c>
      <c r="U181" s="11" t="str">
        <f t="shared" si="24"/>
        <v>Normal</v>
      </c>
      <c r="V181" s="11">
        <f t="shared" si="25"/>
        <v>24</v>
      </c>
      <c r="W181" s="6" t="str">
        <f t="shared" si="26"/>
        <v>A.E</v>
      </c>
    </row>
    <row r="182" spans="1:23" ht="15.75" customHeight="1" x14ac:dyDescent="0.3">
      <c r="A182" s="11" t="s">
        <v>329</v>
      </c>
      <c r="B182" s="15">
        <v>45663</v>
      </c>
      <c r="C182" s="11" t="s">
        <v>131</v>
      </c>
      <c r="D182" s="11" t="s">
        <v>132</v>
      </c>
      <c r="E182" s="11" t="s">
        <v>54</v>
      </c>
      <c r="F182" s="11" t="s">
        <v>55</v>
      </c>
      <c r="G182" s="11" t="s">
        <v>21</v>
      </c>
      <c r="H182" s="11">
        <v>5</v>
      </c>
      <c r="I182" s="11">
        <v>149.99</v>
      </c>
      <c r="J182" s="11" t="s">
        <v>36</v>
      </c>
      <c r="K182" s="11" t="s">
        <v>65</v>
      </c>
      <c r="L182" s="11" t="s">
        <v>29</v>
      </c>
      <c r="M182" s="14">
        <v>44824</v>
      </c>
      <c r="N182" s="11">
        <v>749.95</v>
      </c>
      <c r="O182" s="11" t="str">
        <f t="shared" si="18"/>
        <v>Jan</v>
      </c>
      <c r="P182" s="15">
        <f t="shared" ca="1" si="19"/>
        <v>46078</v>
      </c>
      <c r="Q182" s="18">
        <f t="shared" ca="1" si="20"/>
        <v>46078.801391898145</v>
      </c>
      <c r="R182" s="11">
        <f t="shared" ca="1" si="21"/>
        <v>3</v>
      </c>
      <c r="S182" s="15">
        <f t="shared" si="22"/>
        <v>45688</v>
      </c>
      <c r="T182" s="11">
        <f t="shared" si="23"/>
        <v>2039.8000000000002</v>
      </c>
      <c r="U182" s="11" t="str">
        <f t="shared" si="24"/>
        <v>Normal</v>
      </c>
      <c r="V182" s="11">
        <f t="shared" si="25"/>
        <v>16</v>
      </c>
      <c r="W182" s="6" t="str">
        <f t="shared" si="26"/>
        <v>L.A</v>
      </c>
    </row>
    <row r="183" spans="1:23" ht="15.75" customHeight="1" x14ac:dyDescent="0.3">
      <c r="A183" s="11" t="s">
        <v>330</v>
      </c>
      <c r="B183" s="15">
        <v>45663</v>
      </c>
      <c r="C183" s="11" t="s">
        <v>44</v>
      </c>
      <c r="D183" s="11" t="s">
        <v>45</v>
      </c>
      <c r="E183" s="11" t="s">
        <v>107</v>
      </c>
      <c r="F183" s="11" t="s">
        <v>108</v>
      </c>
      <c r="G183" s="11" t="s">
        <v>48</v>
      </c>
      <c r="H183" s="11">
        <v>3</v>
      </c>
      <c r="I183" s="11">
        <v>299.99</v>
      </c>
      <c r="J183" s="11" t="s">
        <v>22</v>
      </c>
      <c r="K183" s="11" t="s">
        <v>37</v>
      </c>
      <c r="L183" s="11" t="s">
        <v>38</v>
      </c>
      <c r="M183" s="14">
        <v>44422</v>
      </c>
      <c r="N183" s="11">
        <v>899.97</v>
      </c>
      <c r="O183" s="11" t="str">
        <f t="shared" si="18"/>
        <v>Jan</v>
      </c>
      <c r="P183" s="15">
        <f t="shared" ca="1" si="19"/>
        <v>46078</v>
      </c>
      <c r="Q183" s="18">
        <f t="shared" ca="1" si="20"/>
        <v>46078.801391898145</v>
      </c>
      <c r="R183" s="11">
        <f t="shared" ca="1" si="21"/>
        <v>4</v>
      </c>
      <c r="S183" s="15">
        <f t="shared" si="22"/>
        <v>45688</v>
      </c>
      <c r="T183" s="11">
        <f t="shared" si="23"/>
        <v>6169.7400000000007</v>
      </c>
      <c r="U183" s="11" t="str">
        <f t="shared" si="24"/>
        <v>Normal</v>
      </c>
      <c r="V183" s="11">
        <f t="shared" si="25"/>
        <v>26</v>
      </c>
      <c r="W183" s="6" t="str">
        <f t="shared" si="26"/>
        <v>M.B</v>
      </c>
    </row>
    <row r="184" spans="1:23" ht="15.75" customHeight="1" x14ac:dyDescent="0.3">
      <c r="A184" s="11" t="s">
        <v>331</v>
      </c>
      <c r="B184" s="15">
        <v>45666</v>
      </c>
      <c r="C184" s="11" t="s">
        <v>67</v>
      </c>
      <c r="D184" s="11" t="s">
        <v>68</v>
      </c>
      <c r="E184" s="11" t="s">
        <v>82</v>
      </c>
      <c r="F184" s="11" t="s">
        <v>83</v>
      </c>
      <c r="G184" s="11" t="s">
        <v>21</v>
      </c>
      <c r="H184" s="11">
        <v>3</v>
      </c>
      <c r="I184" s="11">
        <v>699.99</v>
      </c>
      <c r="J184" s="11" t="s">
        <v>28</v>
      </c>
      <c r="K184" s="11" t="s">
        <v>23</v>
      </c>
      <c r="L184" s="11" t="s">
        <v>29</v>
      </c>
      <c r="M184" s="14">
        <v>45105</v>
      </c>
      <c r="N184" s="11">
        <v>2099.9699999999998</v>
      </c>
      <c r="O184" s="11" t="str">
        <f t="shared" si="18"/>
        <v>Jan</v>
      </c>
      <c r="P184" s="15">
        <f t="shared" ca="1" si="19"/>
        <v>46078</v>
      </c>
      <c r="Q184" s="18">
        <f t="shared" ca="1" si="20"/>
        <v>46078.801391898145</v>
      </c>
      <c r="R184" s="11">
        <f t="shared" ca="1" si="21"/>
        <v>2</v>
      </c>
      <c r="S184" s="15">
        <f t="shared" si="22"/>
        <v>45688</v>
      </c>
      <c r="T184" s="11">
        <f t="shared" si="23"/>
        <v>8009.7699999999995</v>
      </c>
      <c r="U184" s="11" t="str">
        <f t="shared" si="24"/>
        <v>Normal</v>
      </c>
      <c r="V184" s="11">
        <f t="shared" si="25"/>
        <v>31</v>
      </c>
      <c r="W184" s="6" t="str">
        <f t="shared" si="26"/>
        <v>K.H</v>
      </c>
    </row>
    <row r="185" spans="1:23" ht="15.75" customHeight="1" x14ac:dyDescent="0.3">
      <c r="A185" s="11" t="s">
        <v>332</v>
      </c>
      <c r="B185" s="15">
        <v>45667</v>
      </c>
      <c r="C185" s="11" t="s">
        <v>110</v>
      </c>
      <c r="D185" s="11" t="s">
        <v>111</v>
      </c>
      <c r="E185" s="11" t="s">
        <v>128</v>
      </c>
      <c r="F185" s="11" t="s">
        <v>129</v>
      </c>
      <c r="G185" s="11" t="s">
        <v>48</v>
      </c>
      <c r="H185" s="11">
        <v>5</v>
      </c>
      <c r="I185" s="11">
        <v>199.99</v>
      </c>
      <c r="J185" s="11" t="s">
        <v>36</v>
      </c>
      <c r="K185" s="11" t="s">
        <v>23</v>
      </c>
      <c r="L185" s="11" t="s">
        <v>38</v>
      </c>
      <c r="M185" s="14">
        <v>44633</v>
      </c>
      <c r="N185" s="11">
        <v>999.95</v>
      </c>
      <c r="O185" s="11" t="str">
        <f t="shared" si="18"/>
        <v>Jan</v>
      </c>
      <c r="P185" s="15">
        <f t="shared" ca="1" si="19"/>
        <v>46078</v>
      </c>
      <c r="Q185" s="18">
        <f t="shared" ca="1" si="20"/>
        <v>46078.801391898145</v>
      </c>
      <c r="R185" s="11">
        <f t="shared" ca="1" si="21"/>
        <v>3</v>
      </c>
      <c r="S185" s="15">
        <f t="shared" si="22"/>
        <v>45688</v>
      </c>
      <c r="T185" s="11">
        <f t="shared" si="23"/>
        <v>4189.7700000000004</v>
      </c>
      <c r="U185" s="11" t="str">
        <f t="shared" si="24"/>
        <v>Normal</v>
      </c>
      <c r="V185" s="11">
        <f t="shared" si="25"/>
        <v>15</v>
      </c>
      <c r="W185" s="6" t="str">
        <f t="shared" si="26"/>
        <v>N.C</v>
      </c>
    </row>
    <row r="186" spans="1:23" ht="15.75" customHeight="1" x14ac:dyDescent="0.3">
      <c r="A186" s="11" t="s">
        <v>333</v>
      </c>
      <c r="B186" s="15">
        <v>45667</v>
      </c>
      <c r="C186" s="11" t="s">
        <v>95</v>
      </c>
      <c r="D186" s="11" t="s">
        <v>96</v>
      </c>
      <c r="E186" s="11" t="s">
        <v>19</v>
      </c>
      <c r="F186" s="11" t="s">
        <v>20</v>
      </c>
      <c r="G186" s="11" t="s">
        <v>21</v>
      </c>
      <c r="H186" s="11">
        <v>5</v>
      </c>
      <c r="I186" s="11">
        <v>249.99</v>
      </c>
      <c r="J186" s="11" t="s">
        <v>28</v>
      </c>
      <c r="K186" s="11" t="s">
        <v>37</v>
      </c>
      <c r="L186" s="11" t="s">
        <v>24</v>
      </c>
      <c r="M186" s="14">
        <v>45330</v>
      </c>
      <c r="N186" s="11">
        <v>1249.95</v>
      </c>
      <c r="O186" s="11" t="str">
        <f t="shared" si="18"/>
        <v>Jan</v>
      </c>
      <c r="P186" s="15">
        <f t="shared" ca="1" si="19"/>
        <v>46078</v>
      </c>
      <c r="Q186" s="18">
        <f t="shared" ca="1" si="20"/>
        <v>46078.801391898145</v>
      </c>
      <c r="R186" s="11">
        <f t="shared" ca="1" si="21"/>
        <v>2</v>
      </c>
      <c r="S186" s="15">
        <f t="shared" si="22"/>
        <v>45688</v>
      </c>
      <c r="T186" s="11">
        <f t="shared" si="23"/>
        <v>4789.7900000000009</v>
      </c>
      <c r="U186" s="11" t="str">
        <f t="shared" si="24"/>
        <v>Normal</v>
      </c>
      <c r="V186" s="11">
        <f t="shared" si="25"/>
        <v>26</v>
      </c>
      <c r="W186" s="6" t="str">
        <f t="shared" si="26"/>
        <v>V.S</v>
      </c>
    </row>
    <row r="187" spans="1:23" ht="15.75" customHeight="1" x14ac:dyDescent="0.3">
      <c r="A187" s="11" t="s">
        <v>334</v>
      </c>
      <c r="B187" s="15">
        <v>45668</v>
      </c>
      <c r="C187" s="11" t="s">
        <v>140</v>
      </c>
      <c r="D187" s="11" t="s">
        <v>141</v>
      </c>
      <c r="E187" s="11" t="s">
        <v>54</v>
      </c>
      <c r="F187" s="11" t="s">
        <v>55</v>
      </c>
      <c r="G187" s="11" t="s">
        <v>21</v>
      </c>
      <c r="H187" s="11">
        <v>4</v>
      </c>
      <c r="I187" s="11">
        <v>149.99</v>
      </c>
      <c r="J187" s="11" t="s">
        <v>59</v>
      </c>
      <c r="K187" s="11" t="s">
        <v>65</v>
      </c>
      <c r="L187" s="11" t="s">
        <v>38</v>
      </c>
      <c r="M187" s="14">
        <v>44536</v>
      </c>
      <c r="N187" s="11">
        <v>599.96</v>
      </c>
      <c r="O187" s="11" t="str">
        <f t="shared" si="18"/>
        <v>Jan</v>
      </c>
      <c r="P187" s="15">
        <f t="shared" ca="1" si="19"/>
        <v>46078</v>
      </c>
      <c r="Q187" s="18">
        <f t="shared" ca="1" si="20"/>
        <v>46078.801391898145</v>
      </c>
      <c r="R187" s="11">
        <f t="shared" ca="1" si="21"/>
        <v>4</v>
      </c>
      <c r="S187" s="15">
        <f t="shared" si="22"/>
        <v>45688</v>
      </c>
      <c r="T187" s="11">
        <f t="shared" si="23"/>
        <v>2649.83</v>
      </c>
      <c r="U187" s="11" t="str">
        <f t="shared" si="24"/>
        <v>Normal</v>
      </c>
      <c r="V187" s="11">
        <f t="shared" si="25"/>
        <v>16</v>
      </c>
      <c r="W187" s="6" t="str">
        <f t="shared" si="26"/>
        <v>S.T</v>
      </c>
    </row>
    <row r="188" spans="1:23" ht="15.75" customHeight="1" x14ac:dyDescent="0.3">
      <c r="A188" s="11" t="s">
        <v>335</v>
      </c>
      <c r="B188" s="15">
        <v>45668</v>
      </c>
      <c r="C188" s="11" t="s">
        <v>80</v>
      </c>
      <c r="D188" s="11" t="s">
        <v>81</v>
      </c>
      <c r="E188" s="11" t="s">
        <v>82</v>
      </c>
      <c r="F188" s="11" t="s">
        <v>83</v>
      </c>
      <c r="G188" s="11" t="s">
        <v>21</v>
      </c>
      <c r="H188" s="11">
        <v>3</v>
      </c>
      <c r="I188" s="11">
        <v>699.99</v>
      </c>
      <c r="J188" s="11" t="s">
        <v>22</v>
      </c>
      <c r="K188" s="11" t="s">
        <v>42</v>
      </c>
      <c r="L188" s="11" t="s">
        <v>29</v>
      </c>
      <c r="M188" s="14">
        <v>44602</v>
      </c>
      <c r="N188" s="11">
        <v>2099.9699999999998</v>
      </c>
      <c r="O188" s="11" t="str">
        <f t="shared" si="18"/>
        <v>Jan</v>
      </c>
      <c r="P188" s="15">
        <f t="shared" ca="1" si="19"/>
        <v>46078</v>
      </c>
      <c r="Q188" s="18">
        <f t="shared" ca="1" si="20"/>
        <v>46078.801391898145</v>
      </c>
      <c r="R188" s="11">
        <f t="shared" ca="1" si="21"/>
        <v>4</v>
      </c>
      <c r="S188" s="15">
        <f t="shared" si="22"/>
        <v>45688</v>
      </c>
      <c r="T188" s="11">
        <f t="shared" si="23"/>
        <v>4199.9399999999996</v>
      </c>
      <c r="U188" s="11" t="str">
        <f t="shared" si="24"/>
        <v>Normal</v>
      </c>
      <c r="V188" s="11">
        <f t="shared" si="25"/>
        <v>31</v>
      </c>
      <c r="W188" s="6" t="str">
        <f t="shared" si="26"/>
        <v>M.R</v>
      </c>
    </row>
    <row r="189" spans="1:23" ht="15.75" customHeight="1" x14ac:dyDescent="0.3">
      <c r="A189" s="11" t="s">
        <v>336</v>
      </c>
      <c r="B189" s="15">
        <v>45670</v>
      </c>
      <c r="C189" s="11" t="s">
        <v>295</v>
      </c>
      <c r="D189" s="11" t="s">
        <v>296</v>
      </c>
      <c r="E189" s="11" t="s">
        <v>116</v>
      </c>
      <c r="F189" s="11" t="s">
        <v>117</v>
      </c>
      <c r="G189" s="11" t="s">
        <v>35</v>
      </c>
      <c r="H189" s="11">
        <v>1</v>
      </c>
      <c r="I189" s="11">
        <v>79.989999999999995</v>
      </c>
      <c r="J189" s="11" t="s">
        <v>28</v>
      </c>
      <c r="K189" s="11" t="s">
        <v>37</v>
      </c>
      <c r="L189" s="11" t="s">
        <v>24</v>
      </c>
      <c r="M189" s="14">
        <v>45322</v>
      </c>
      <c r="N189" s="11">
        <v>79.989999999999995</v>
      </c>
      <c r="O189" s="11" t="str">
        <f t="shared" si="18"/>
        <v>Jan</v>
      </c>
      <c r="P189" s="15">
        <f t="shared" ca="1" si="19"/>
        <v>46078</v>
      </c>
      <c r="Q189" s="18">
        <f t="shared" ca="1" si="20"/>
        <v>46078.801391898145</v>
      </c>
      <c r="R189" s="11">
        <f t="shared" ca="1" si="21"/>
        <v>2</v>
      </c>
      <c r="S189" s="15">
        <f t="shared" si="22"/>
        <v>45688</v>
      </c>
      <c r="T189" s="11">
        <f t="shared" si="23"/>
        <v>4829.8899999999994</v>
      </c>
      <c r="U189" s="11" t="str">
        <f t="shared" si="24"/>
        <v>Normal</v>
      </c>
      <c r="V189" s="11">
        <f t="shared" si="25"/>
        <v>14</v>
      </c>
      <c r="W189" s="6" t="str">
        <f t="shared" si="26"/>
        <v>D.W</v>
      </c>
    </row>
    <row r="190" spans="1:23" ht="15.75" customHeight="1" x14ac:dyDescent="0.3">
      <c r="A190" s="11" t="s">
        <v>337</v>
      </c>
      <c r="B190" s="15">
        <v>45670</v>
      </c>
      <c r="C190" s="11" t="s">
        <v>88</v>
      </c>
      <c r="D190" s="11" t="s">
        <v>89</v>
      </c>
      <c r="E190" s="11" t="s">
        <v>107</v>
      </c>
      <c r="F190" s="11" t="s">
        <v>108</v>
      </c>
      <c r="G190" s="11" t="s">
        <v>48</v>
      </c>
      <c r="H190" s="11">
        <v>1</v>
      </c>
      <c r="I190" s="11">
        <v>299.99</v>
      </c>
      <c r="J190" s="11" t="s">
        <v>28</v>
      </c>
      <c r="K190" s="11" t="s">
        <v>42</v>
      </c>
      <c r="L190" s="11" t="s">
        <v>24</v>
      </c>
      <c r="M190" s="14">
        <v>44436</v>
      </c>
      <c r="N190" s="11">
        <v>299.99</v>
      </c>
      <c r="O190" s="11" t="str">
        <f t="shared" si="18"/>
        <v>Jan</v>
      </c>
      <c r="P190" s="15">
        <f t="shared" ca="1" si="19"/>
        <v>46078</v>
      </c>
      <c r="Q190" s="18">
        <f t="shared" ca="1" si="20"/>
        <v>46078.801391898145</v>
      </c>
      <c r="R190" s="11">
        <f t="shared" ca="1" si="21"/>
        <v>4</v>
      </c>
      <c r="S190" s="15">
        <f t="shared" si="22"/>
        <v>45688</v>
      </c>
      <c r="T190" s="11">
        <f t="shared" si="23"/>
        <v>15659.65</v>
      </c>
      <c r="U190" s="11" t="str">
        <f t="shared" si="24"/>
        <v>High</v>
      </c>
      <c r="V190" s="11">
        <f t="shared" si="25"/>
        <v>26</v>
      </c>
      <c r="W190" s="6" t="str">
        <f t="shared" si="26"/>
        <v>M.C</v>
      </c>
    </row>
    <row r="191" spans="1:23" ht="15.75" customHeight="1" x14ac:dyDescent="0.3">
      <c r="A191" s="11" t="s">
        <v>338</v>
      </c>
      <c r="B191" s="15">
        <v>45671</v>
      </c>
      <c r="C191" s="11" t="s">
        <v>160</v>
      </c>
      <c r="D191" s="11" t="s">
        <v>161</v>
      </c>
      <c r="E191" s="11" t="s">
        <v>19</v>
      </c>
      <c r="F191" s="11" t="s">
        <v>20</v>
      </c>
      <c r="G191" s="11" t="s">
        <v>21</v>
      </c>
      <c r="H191" s="11">
        <v>4</v>
      </c>
      <c r="I191" s="11">
        <v>249.99</v>
      </c>
      <c r="J191" s="11" t="s">
        <v>28</v>
      </c>
      <c r="K191" s="11" t="s">
        <v>42</v>
      </c>
      <c r="L191" s="11" t="s">
        <v>29</v>
      </c>
      <c r="M191" s="14">
        <v>44460</v>
      </c>
      <c r="N191" s="11">
        <v>999.96</v>
      </c>
      <c r="O191" s="11" t="str">
        <f t="shared" si="18"/>
        <v>Jan</v>
      </c>
      <c r="P191" s="15">
        <f t="shared" ca="1" si="19"/>
        <v>46078</v>
      </c>
      <c r="Q191" s="18">
        <f t="shared" ca="1" si="20"/>
        <v>46078.801391898145</v>
      </c>
      <c r="R191" s="11">
        <f t="shared" ca="1" si="21"/>
        <v>4</v>
      </c>
      <c r="S191" s="15">
        <f t="shared" si="22"/>
        <v>45688</v>
      </c>
      <c r="T191" s="11">
        <f t="shared" si="23"/>
        <v>5649.84</v>
      </c>
      <c r="U191" s="11" t="str">
        <f t="shared" si="24"/>
        <v>Normal</v>
      </c>
      <c r="V191" s="11">
        <f t="shared" si="25"/>
        <v>26</v>
      </c>
      <c r="W191" s="6" t="str">
        <f t="shared" si="26"/>
        <v>B.C</v>
      </c>
    </row>
    <row r="192" spans="1:23" ht="15.75" customHeight="1" x14ac:dyDescent="0.3">
      <c r="A192" s="11" t="s">
        <v>339</v>
      </c>
      <c r="B192" s="15">
        <v>45671</v>
      </c>
      <c r="C192" s="11" t="s">
        <v>122</v>
      </c>
      <c r="D192" s="11" t="s">
        <v>123</v>
      </c>
      <c r="E192" s="11" t="s">
        <v>54</v>
      </c>
      <c r="F192" s="11" t="s">
        <v>55</v>
      </c>
      <c r="G192" s="11" t="s">
        <v>21</v>
      </c>
      <c r="H192" s="11">
        <v>2</v>
      </c>
      <c r="I192" s="11">
        <v>149.99</v>
      </c>
      <c r="J192" s="11" t="s">
        <v>22</v>
      </c>
      <c r="K192" s="11" t="s">
        <v>42</v>
      </c>
      <c r="L192" s="11" t="s">
        <v>38</v>
      </c>
      <c r="M192" s="14">
        <v>44913</v>
      </c>
      <c r="N192" s="11">
        <v>299.98</v>
      </c>
      <c r="O192" s="11" t="str">
        <f t="shared" si="18"/>
        <v>Jan</v>
      </c>
      <c r="P192" s="15">
        <f t="shared" ca="1" si="19"/>
        <v>46078</v>
      </c>
      <c r="Q192" s="18">
        <f t="shared" ca="1" si="20"/>
        <v>46078.801391898145</v>
      </c>
      <c r="R192" s="11">
        <f t="shared" ca="1" si="21"/>
        <v>3</v>
      </c>
      <c r="S192" s="15">
        <f t="shared" si="22"/>
        <v>45688</v>
      </c>
      <c r="T192" s="11">
        <f t="shared" si="23"/>
        <v>6459.79</v>
      </c>
      <c r="U192" s="11" t="str">
        <f t="shared" si="24"/>
        <v>Normal</v>
      </c>
      <c r="V192" s="11">
        <f t="shared" si="25"/>
        <v>16</v>
      </c>
      <c r="W192" s="6" t="str">
        <f t="shared" si="26"/>
        <v>H.R</v>
      </c>
    </row>
    <row r="193" spans="1:23" ht="15.75" customHeight="1" x14ac:dyDescent="0.3">
      <c r="A193" s="11" t="s">
        <v>340</v>
      </c>
      <c r="B193" s="15">
        <v>45671</v>
      </c>
      <c r="C193" s="11" t="s">
        <v>236</v>
      </c>
      <c r="D193" s="11" t="s">
        <v>237</v>
      </c>
      <c r="E193" s="11" t="s">
        <v>107</v>
      </c>
      <c r="F193" s="11" t="s">
        <v>108</v>
      </c>
      <c r="G193" s="11" t="s">
        <v>48</v>
      </c>
      <c r="H193" s="11">
        <v>3</v>
      </c>
      <c r="I193" s="11">
        <v>299.99</v>
      </c>
      <c r="J193" s="11" t="s">
        <v>28</v>
      </c>
      <c r="K193" s="11" t="s">
        <v>37</v>
      </c>
      <c r="L193" s="11" t="s">
        <v>24</v>
      </c>
      <c r="M193" s="14">
        <v>45204</v>
      </c>
      <c r="N193" s="11">
        <v>899.97</v>
      </c>
      <c r="O193" s="11" t="str">
        <f t="shared" si="18"/>
        <v>Jan</v>
      </c>
      <c r="P193" s="15">
        <f t="shared" ca="1" si="19"/>
        <v>46078</v>
      </c>
      <c r="Q193" s="18">
        <f t="shared" ca="1" si="20"/>
        <v>46078.801391898145</v>
      </c>
      <c r="R193" s="11">
        <f t="shared" ca="1" si="21"/>
        <v>2</v>
      </c>
      <c r="S193" s="15">
        <f t="shared" si="22"/>
        <v>45688</v>
      </c>
      <c r="T193" s="11">
        <f t="shared" si="23"/>
        <v>6349.83</v>
      </c>
      <c r="U193" s="11" t="str">
        <f t="shared" si="24"/>
        <v>Normal</v>
      </c>
      <c r="V193" s="11">
        <f t="shared" si="25"/>
        <v>26</v>
      </c>
      <c r="W193" s="6" t="str">
        <f t="shared" si="26"/>
        <v>S.P</v>
      </c>
    </row>
    <row r="194" spans="1:23" ht="15.75" customHeight="1" x14ac:dyDescent="0.3">
      <c r="A194" s="11" t="s">
        <v>341</v>
      </c>
      <c r="B194" s="15">
        <v>45673</v>
      </c>
      <c r="C194" s="11" t="s">
        <v>228</v>
      </c>
      <c r="D194" s="11" t="s">
        <v>229</v>
      </c>
      <c r="E194" s="11" t="s">
        <v>128</v>
      </c>
      <c r="F194" s="11" t="s">
        <v>129</v>
      </c>
      <c r="G194" s="11" t="s">
        <v>48</v>
      </c>
      <c r="H194" s="11">
        <v>4</v>
      </c>
      <c r="I194" s="11">
        <v>199.99</v>
      </c>
      <c r="J194" s="11" t="s">
        <v>59</v>
      </c>
      <c r="K194" s="11" t="s">
        <v>37</v>
      </c>
      <c r="L194" s="11" t="s">
        <v>38</v>
      </c>
      <c r="M194" s="14">
        <v>44544</v>
      </c>
      <c r="N194" s="11">
        <v>799.96</v>
      </c>
      <c r="O194" s="11" t="str">
        <f t="shared" ref="O194:O251" si="27">TEXT(B194,"MMM")</f>
        <v>Jan</v>
      </c>
      <c r="P194" s="15">
        <f t="shared" ref="P194:P251" ca="1" si="28">TODAY()</f>
        <v>46078</v>
      </c>
      <c r="Q194" s="18">
        <f t="shared" ref="Q194:Q251" ca="1" si="29">NOW()</f>
        <v>46078.801391898145</v>
      </c>
      <c r="R194" s="11">
        <f t="shared" ref="R194:R251" ca="1" si="30">DATEDIF(M194,TODAY(),"Y")</f>
        <v>4</v>
      </c>
      <c r="S194" s="15">
        <f t="shared" ref="S194:S251" si="31">EOMONTH(B194,0)</f>
        <v>45688</v>
      </c>
      <c r="T194" s="11">
        <f t="shared" ref="T194:T251" si="32">SUMIF(D:D,D194,N:N)</f>
        <v>6989.7699999999986</v>
      </c>
      <c r="U194" s="11" t="str">
        <f t="shared" ref="U194:U251" si="33">IF(T194&gt;10000,"High","Normal")</f>
        <v>Normal</v>
      </c>
      <c r="V194" s="11">
        <f t="shared" ref="V194:V251" si="34">COUNTIF(F:F,F194)</f>
        <v>15</v>
      </c>
      <c r="W194" s="6" t="str">
        <f t="shared" ref="W194:W251" si="35">LEFT(D194,1)&amp;"."&amp;MID(D194,FIND(" ",D194)+1,1)</f>
        <v>L.R</v>
      </c>
    </row>
    <row r="195" spans="1:23" ht="15.75" customHeight="1" x14ac:dyDescent="0.3">
      <c r="A195" s="11" t="s">
        <v>342</v>
      </c>
      <c r="B195" s="15">
        <v>45673</v>
      </c>
      <c r="C195" s="11" t="s">
        <v>213</v>
      </c>
      <c r="D195" s="11" t="s">
        <v>214</v>
      </c>
      <c r="E195" s="11" t="s">
        <v>107</v>
      </c>
      <c r="F195" s="11" t="s">
        <v>108</v>
      </c>
      <c r="G195" s="11" t="s">
        <v>48</v>
      </c>
      <c r="H195" s="11">
        <v>5</v>
      </c>
      <c r="I195" s="11">
        <v>299.99</v>
      </c>
      <c r="J195" s="11" t="s">
        <v>59</v>
      </c>
      <c r="K195" s="11" t="s">
        <v>23</v>
      </c>
      <c r="L195" s="11" t="s">
        <v>24</v>
      </c>
      <c r="M195" s="14">
        <v>44431</v>
      </c>
      <c r="N195" s="11">
        <v>1499.95</v>
      </c>
      <c r="O195" s="11" t="str">
        <f t="shared" si="27"/>
        <v>Jan</v>
      </c>
      <c r="P195" s="15">
        <f t="shared" ca="1" si="28"/>
        <v>46078</v>
      </c>
      <c r="Q195" s="18">
        <f t="shared" ca="1" si="29"/>
        <v>46078.801391898145</v>
      </c>
      <c r="R195" s="11">
        <f t="shared" ca="1" si="30"/>
        <v>4</v>
      </c>
      <c r="S195" s="15">
        <f t="shared" si="31"/>
        <v>45688</v>
      </c>
      <c r="T195" s="11">
        <f t="shared" si="32"/>
        <v>3649.8599999999997</v>
      </c>
      <c r="U195" s="11" t="str">
        <f t="shared" si="33"/>
        <v>Normal</v>
      </c>
      <c r="V195" s="11">
        <f t="shared" si="34"/>
        <v>26</v>
      </c>
      <c r="W195" s="6" t="str">
        <f t="shared" si="35"/>
        <v>E.H</v>
      </c>
    </row>
    <row r="196" spans="1:23" ht="15.75" customHeight="1" x14ac:dyDescent="0.3">
      <c r="A196" s="11" t="s">
        <v>343</v>
      </c>
      <c r="B196" s="15">
        <v>45673</v>
      </c>
      <c r="C196" s="11" t="s">
        <v>61</v>
      </c>
      <c r="D196" s="11" t="s">
        <v>62</v>
      </c>
      <c r="E196" s="11" t="s">
        <v>46</v>
      </c>
      <c r="F196" s="11" t="s">
        <v>47</v>
      </c>
      <c r="G196" s="11" t="s">
        <v>48</v>
      </c>
      <c r="H196" s="11">
        <v>3</v>
      </c>
      <c r="I196" s="11">
        <v>149.99</v>
      </c>
      <c r="J196" s="11" t="s">
        <v>28</v>
      </c>
      <c r="K196" s="11" t="s">
        <v>65</v>
      </c>
      <c r="L196" s="11" t="s">
        <v>38</v>
      </c>
      <c r="M196" s="14">
        <v>44395</v>
      </c>
      <c r="N196" s="11">
        <v>449.97</v>
      </c>
      <c r="O196" s="11" t="str">
        <f t="shared" si="27"/>
        <v>Jan</v>
      </c>
      <c r="P196" s="15">
        <f t="shared" ca="1" si="28"/>
        <v>46078</v>
      </c>
      <c r="Q196" s="18">
        <f t="shared" ca="1" si="29"/>
        <v>46078.801391898145</v>
      </c>
      <c r="R196" s="11">
        <f t="shared" ca="1" si="30"/>
        <v>4</v>
      </c>
      <c r="S196" s="15">
        <f t="shared" si="31"/>
        <v>45688</v>
      </c>
      <c r="T196" s="11">
        <f t="shared" si="32"/>
        <v>3509.8999999999996</v>
      </c>
      <c r="U196" s="11" t="str">
        <f t="shared" si="33"/>
        <v>Normal</v>
      </c>
      <c r="V196" s="11">
        <f t="shared" si="34"/>
        <v>35</v>
      </c>
      <c r="W196" s="6" t="str">
        <f t="shared" si="35"/>
        <v>R.T</v>
      </c>
    </row>
    <row r="197" spans="1:23" ht="15.75" customHeight="1" x14ac:dyDescent="0.3">
      <c r="A197" s="11" t="s">
        <v>344</v>
      </c>
      <c r="B197" s="15">
        <v>45676</v>
      </c>
      <c r="C197" s="11" t="s">
        <v>131</v>
      </c>
      <c r="D197" s="11" t="s">
        <v>132</v>
      </c>
      <c r="E197" s="11" t="s">
        <v>33</v>
      </c>
      <c r="F197" s="11" t="s">
        <v>34</v>
      </c>
      <c r="G197" s="11" t="s">
        <v>35</v>
      </c>
      <c r="H197" s="11">
        <v>5</v>
      </c>
      <c r="I197" s="11">
        <v>59.99</v>
      </c>
      <c r="J197" s="11" t="s">
        <v>59</v>
      </c>
      <c r="K197" s="11" t="s">
        <v>65</v>
      </c>
      <c r="L197" s="11" t="s">
        <v>24</v>
      </c>
      <c r="M197" s="14">
        <v>44642</v>
      </c>
      <c r="N197" s="11">
        <v>299.95</v>
      </c>
      <c r="O197" s="11" t="str">
        <f t="shared" si="27"/>
        <v>Jan</v>
      </c>
      <c r="P197" s="15">
        <f t="shared" ca="1" si="28"/>
        <v>46078</v>
      </c>
      <c r="Q197" s="18">
        <f t="shared" ca="1" si="29"/>
        <v>46078.801391898145</v>
      </c>
      <c r="R197" s="11">
        <f t="shared" ca="1" si="30"/>
        <v>3</v>
      </c>
      <c r="S197" s="15">
        <f t="shared" si="31"/>
        <v>45688</v>
      </c>
      <c r="T197" s="11">
        <f t="shared" si="32"/>
        <v>2039.8000000000002</v>
      </c>
      <c r="U197" s="11" t="str">
        <f t="shared" si="33"/>
        <v>Normal</v>
      </c>
      <c r="V197" s="11">
        <f t="shared" si="34"/>
        <v>29</v>
      </c>
      <c r="W197" s="6" t="str">
        <f t="shared" si="35"/>
        <v>L.A</v>
      </c>
    </row>
    <row r="198" spans="1:23" ht="15.75" customHeight="1" x14ac:dyDescent="0.3">
      <c r="A198" s="11" t="s">
        <v>345</v>
      </c>
      <c r="B198" s="15">
        <v>45682</v>
      </c>
      <c r="C198" s="11" t="s">
        <v>70</v>
      </c>
      <c r="D198" s="11" t="s">
        <v>71</v>
      </c>
      <c r="E198" s="11" t="s">
        <v>33</v>
      </c>
      <c r="F198" s="11" t="s">
        <v>34</v>
      </c>
      <c r="G198" s="11" t="s">
        <v>35</v>
      </c>
      <c r="H198" s="11">
        <v>4</v>
      </c>
      <c r="I198" s="11">
        <v>59.99</v>
      </c>
      <c r="J198" s="11" t="s">
        <v>59</v>
      </c>
      <c r="K198" s="11" t="s">
        <v>65</v>
      </c>
      <c r="L198" s="11" t="s">
        <v>38</v>
      </c>
      <c r="M198" s="14">
        <v>44564</v>
      </c>
      <c r="N198" s="11">
        <v>239.96</v>
      </c>
      <c r="O198" s="11" t="str">
        <f t="shared" si="27"/>
        <v>Jan</v>
      </c>
      <c r="P198" s="15">
        <f t="shared" ca="1" si="28"/>
        <v>46078</v>
      </c>
      <c r="Q198" s="18">
        <f t="shared" ca="1" si="29"/>
        <v>46078.801391898145</v>
      </c>
      <c r="R198" s="11">
        <f t="shared" ca="1" si="30"/>
        <v>4</v>
      </c>
      <c r="S198" s="15">
        <f t="shared" si="31"/>
        <v>45688</v>
      </c>
      <c r="T198" s="11">
        <f t="shared" si="32"/>
        <v>1979.89</v>
      </c>
      <c r="U198" s="11" t="str">
        <f t="shared" si="33"/>
        <v>Normal</v>
      </c>
      <c r="V198" s="11">
        <f t="shared" si="34"/>
        <v>29</v>
      </c>
      <c r="W198" s="6" t="str">
        <f t="shared" si="35"/>
        <v>S.G</v>
      </c>
    </row>
    <row r="199" spans="1:23" ht="15.75" customHeight="1" x14ac:dyDescent="0.3">
      <c r="A199" s="11" t="s">
        <v>346</v>
      </c>
      <c r="B199" s="15">
        <v>45683</v>
      </c>
      <c r="C199" s="11" t="s">
        <v>50</v>
      </c>
      <c r="D199" s="11" t="s">
        <v>51</v>
      </c>
      <c r="E199" s="11" t="s">
        <v>19</v>
      </c>
      <c r="F199" s="11" t="s">
        <v>20</v>
      </c>
      <c r="G199" s="11" t="s">
        <v>21</v>
      </c>
      <c r="H199" s="11">
        <v>4</v>
      </c>
      <c r="I199" s="11">
        <v>249.99</v>
      </c>
      <c r="J199" s="11" t="s">
        <v>59</v>
      </c>
      <c r="K199" s="11" t="s">
        <v>23</v>
      </c>
      <c r="L199" s="11" t="s">
        <v>29</v>
      </c>
      <c r="M199" s="14">
        <v>45217</v>
      </c>
      <c r="N199" s="11">
        <v>999.96</v>
      </c>
      <c r="O199" s="11" t="str">
        <f t="shared" si="27"/>
        <v>Jan</v>
      </c>
      <c r="P199" s="15">
        <f t="shared" ca="1" si="28"/>
        <v>46078</v>
      </c>
      <c r="Q199" s="18">
        <f t="shared" ca="1" si="29"/>
        <v>46078.801391898145</v>
      </c>
      <c r="R199" s="11">
        <f t="shared" ca="1" si="30"/>
        <v>2</v>
      </c>
      <c r="S199" s="15">
        <f t="shared" si="31"/>
        <v>45688</v>
      </c>
      <c r="T199" s="11">
        <f t="shared" si="32"/>
        <v>8269.7900000000009</v>
      </c>
      <c r="U199" s="11" t="str">
        <f t="shared" si="33"/>
        <v>Normal</v>
      </c>
      <c r="V199" s="11">
        <f t="shared" si="34"/>
        <v>26</v>
      </c>
      <c r="W199" s="6" t="str">
        <f t="shared" si="35"/>
        <v>D.N</v>
      </c>
    </row>
    <row r="200" spans="1:23" ht="15.75" customHeight="1" x14ac:dyDescent="0.3">
      <c r="A200" s="11" t="s">
        <v>347</v>
      </c>
      <c r="B200" s="15">
        <v>45686</v>
      </c>
      <c r="C200" s="11" t="s">
        <v>254</v>
      </c>
      <c r="D200" s="11" t="s">
        <v>255</v>
      </c>
      <c r="E200" s="11" t="s">
        <v>63</v>
      </c>
      <c r="F200" s="11" t="s">
        <v>64</v>
      </c>
      <c r="G200" s="11" t="s">
        <v>21</v>
      </c>
      <c r="H200" s="11">
        <v>4</v>
      </c>
      <c r="I200" s="11">
        <v>899.99</v>
      </c>
      <c r="J200" s="11" t="s">
        <v>36</v>
      </c>
      <c r="K200" s="11" t="s">
        <v>23</v>
      </c>
      <c r="L200" s="11" t="s">
        <v>24</v>
      </c>
      <c r="M200" s="14">
        <v>44734</v>
      </c>
      <c r="N200" s="11">
        <v>3599.96</v>
      </c>
      <c r="O200" s="11" t="str">
        <f t="shared" si="27"/>
        <v>Jan</v>
      </c>
      <c r="P200" s="15">
        <f t="shared" ca="1" si="28"/>
        <v>46078</v>
      </c>
      <c r="Q200" s="18">
        <f t="shared" ca="1" si="29"/>
        <v>46078.801391898145</v>
      </c>
      <c r="R200" s="11">
        <f t="shared" ca="1" si="30"/>
        <v>3</v>
      </c>
      <c r="S200" s="15">
        <f t="shared" si="31"/>
        <v>45688</v>
      </c>
      <c r="T200" s="11">
        <f t="shared" si="32"/>
        <v>4749.91</v>
      </c>
      <c r="U200" s="11" t="str">
        <f t="shared" si="33"/>
        <v>Normal</v>
      </c>
      <c r="V200" s="11">
        <f t="shared" si="34"/>
        <v>24</v>
      </c>
      <c r="W200" s="6" t="str">
        <f t="shared" si="35"/>
        <v>W.W</v>
      </c>
    </row>
    <row r="201" spans="1:23" ht="15.75" customHeight="1" x14ac:dyDescent="0.3">
      <c r="A201" s="11" t="s">
        <v>348</v>
      </c>
      <c r="B201" s="15">
        <v>45686</v>
      </c>
      <c r="C201" s="11" t="s">
        <v>88</v>
      </c>
      <c r="D201" s="11" t="s">
        <v>89</v>
      </c>
      <c r="E201" s="11" t="s">
        <v>107</v>
      </c>
      <c r="F201" s="11" t="s">
        <v>108</v>
      </c>
      <c r="G201" s="11" t="s">
        <v>48</v>
      </c>
      <c r="H201" s="11">
        <v>3</v>
      </c>
      <c r="I201" s="11">
        <v>299.99</v>
      </c>
      <c r="J201" s="11" t="s">
        <v>59</v>
      </c>
      <c r="K201" s="11" t="s">
        <v>52</v>
      </c>
      <c r="L201" s="11" t="s">
        <v>38</v>
      </c>
      <c r="M201" s="14">
        <v>44952</v>
      </c>
      <c r="N201" s="11">
        <v>899.97</v>
      </c>
      <c r="O201" s="11" t="str">
        <f t="shared" si="27"/>
        <v>Jan</v>
      </c>
      <c r="P201" s="15">
        <f t="shared" ca="1" si="28"/>
        <v>46078</v>
      </c>
      <c r="Q201" s="18">
        <f t="shared" ca="1" si="29"/>
        <v>46078.801391898145</v>
      </c>
      <c r="R201" s="11">
        <f t="shared" ca="1" si="30"/>
        <v>3</v>
      </c>
      <c r="S201" s="15">
        <f t="shared" si="31"/>
        <v>45688</v>
      </c>
      <c r="T201" s="11">
        <f t="shared" si="32"/>
        <v>15659.65</v>
      </c>
      <c r="U201" s="11" t="str">
        <f t="shared" si="33"/>
        <v>High</v>
      </c>
      <c r="V201" s="11">
        <f t="shared" si="34"/>
        <v>26</v>
      </c>
      <c r="W201" s="6" t="str">
        <f t="shared" si="35"/>
        <v>M.C</v>
      </c>
    </row>
    <row r="202" spans="1:23" ht="15.75" customHeight="1" x14ac:dyDescent="0.3">
      <c r="A202" s="11" t="s">
        <v>349</v>
      </c>
      <c r="B202" s="15">
        <v>45686</v>
      </c>
      <c r="C202" s="11" t="s">
        <v>295</v>
      </c>
      <c r="D202" s="11" t="s">
        <v>296</v>
      </c>
      <c r="E202" s="11" t="s">
        <v>82</v>
      </c>
      <c r="F202" s="11" t="s">
        <v>83</v>
      </c>
      <c r="G202" s="11" t="s">
        <v>21</v>
      </c>
      <c r="H202" s="11">
        <v>2</v>
      </c>
      <c r="I202" s="11">
        <v>699.99</v>
      </c>
      <c r="J202" s="11" t="s">
        <v>59</v>
      </c>
      <c r="K202" s="11" t="s">
        <v>23</v>
      </c>
      <c r="L202" s="11" t="s">
        <v>29</v>
      </c>
      <c r="M202" s="14">
        <v>44681</v>
      </c>
      <c r="N202" s="11">
        <v>1399.98</v>
      </c>
      <c r="O202" s="11" t="str">
        <f t="shared" si="27"/>
        <v>Jan</v>
      </c>
      <c r="P202" s="15">
        <f t="shared" ca="1" si="28"/>
        <v>46078</v>
      </c>
      <c r="Q202" s="18">
        <f t="shared" ca="1" si="29"/>
        <v>46078.801391898145</v>
      </c>
      <c r="R202" s="11">
        <f t="shared" ca="1" si="30"/>
        <v>3</v>
      </c>
      <c r="S202" s="15">
        <f t="shared" si="31"/>
        <v>45688</v>
      </c>
      <c r="T202" s="11">
        <f t="shared" si="32"/>
        <v>4829.8899999999994</v>
      </c>
      <c r="U202" s="11" t="str">
        <f t="shared" si="33"/>
        <v>Normal</v>
      </c>
      <c r="V202" s="11">
        <f t="shared" si="34"/>
        <v>31</v>
      </c>
      <c r="W202" s="6" t="str">
        <f t="shared" si="35"/>
        <v>D.W</v>
      </c>
    </row>
    <row r="203" spans="1:23" ht="15.75" customHeight="1" x14ac:dyDescent="0.3">
      <c r="A203" s="11" t="s">
        <v>350</v>
      </c>
      <c r="B203" s="15">
        <v>45688</v>
      </c>
      <c r="C203" s="11" t="s">
        <v>67</v>
      </c>
      <c r="D203" s="11" t="s">
        <v>68</v>
      </c>
      <c r="E203" s="11" t="s">
        <v>82</v>
      </c>
      <c r="F203" s="11" t="s">
        <v>83</v>
      </c>
      <c r="G203" s="11" t="s">
        <v>21</v>
      </c>
      <c r="H203" s="11">
        <v>4</v>
      </c>
      <c r="I203" s="11">
        <v>699.99</v>
      </c>
      <c r="J203" s="11" t="s">
        <v>59</v>
      </c>
      <c r="K203" s="11" t="s">
        <v>52</v>
      </c>
      <c r="L203" s="11" t="s">
        <v>29</v>
      </c>
      <c r="M203" s="14">
        <v>44692</v>
      </c>
      <c r="N203" s="11">
        <v>2799.96</v>
      </c>
      <c r="O203" s="11" t="str">
        <f t="shared" si="27"/>
        <v>Jan</v>
      </c>
      <c r="P203" s="15">
        <f t="shared" ca="1" si="28"/>
        <v>46078</v>
      </c>
      <c r="Q203" s="18">
        <f t="shared" ca="1" si="29"/>
        <v>46078.801391898145</v>
      </c>
      <c r="R203" s="11">
        <f t="shared" ca="1" si="30"/>
        <v>3</v>
      </c>
      <c r="S203" s="15">
        <f t="shared" si="31"/>
        <v>45688</v>
      </c>
      <c r="T203" s="11">
        <f t="shared" si="32"/>
        <v>8009.7699999999995</v>
      </c>
      <c r="U203" s="11" t="str">
        <f t="shared" si="33"/>
        <v>Normal</v>
      </c>
      <c r="V203" s="11">
        <f t="shared" si="34"/>
        <v>31</v>
      </c>
      <c r="W203" s="6" t="str">
        <f t="shared" si="35"/>
        <v>K.H</v>
      </c>
    </row>
    <row r="204" spans="1:23" ht="15.75" customHeight="1" x14ac:dyDescent="0.3">
      <c r="A204" s="11" t="s">
        <v>351</v>
      </c>
      <c r="B204" s="15">
        <v>45688</v>
      </c>
      <c r="C204" s="11" t="s">
        <v>125</v>
      </c>
      <c r="D204" s="11" t="s">
        <v>126</v>
      </c>
      <c r="E204" s="11" t="s">
        <v>119</v>
      </c>
      <c r="F204" s="11" t="s">
        <v>120</v>
      </c>
      <c r="G204" s="11" t="s">
        <v>21</v>
      </c>
      <c r="H204" s="11">
        <v>2</v>
      </c>
      <c r="I204" s="11">
        <v>89.99</v>
      </c>
      <c r="J204" s="11" t="s">
        <v>59</v>
      </c>
      <c r="K204" s="11" t="s">
        <v>37</v>
      </c>
      <c r="L204" s="11" t="s">
        <v>24</v>
      </c>
      <c r="M204" s="14">
        <v>44777</v>
      </c>
      <c r="N204" s="11">
        <v>179.98</v>
      </c>
      <c r="O204" s="11" t="str">
        <f t="shared" si="27"/>
        <v>Jan</v>
      </c>
      <c r="P204" s="15">
        <f t="shared" ca="1" si="28"/>
        <v>46078</v>
      </c>
      <c r="Q204" s="18">
        <f t="shared" ca="1" si="29"/>
        <v>46078.801391898145</v>
      </c>
      <c r="R204" s="11">
        <f t="shared" ca="1" si="30"/>
        <v>3</v>
      </c>
      <c r="S204" s="15">
        <f t="shared" si="31"/>
        <v>45688</v>
      </c>
      <c r="T204" s="11">
        <f t="shared" si="32"/>
        <v>11919.769999999999</v>
      </c>
      <c r="U204" s="11" t="str">
        <f t="shared" si="33"/>
        <v>High</v>
      </c>
      <c r="V204" s="11">
        <f t="shared" si="34"/>
        <v>34</v>
      </c>
      <c r="W204" s="6" t="str">
        <f t="shared" si="35"/>
        <v>E.M</v>
      </c>
    </row>
    <row r="205" spans="1:23" ht="15.75" customHeight="1" x14ac:dyDescent="0.3">
      <c r="A205" s="11" t="s">
        <v>352</v>
      </c>
      <c r="B205" s="15">
        <v>45688</v>
      </c>
      <c r="C205" s="11" t="s">
        <v>44</v>
      </c>
      <c r="D205" s="11" t="s">
        <v>45</v>
      </c>
      <c r="E205" s="11" t="s">
        <v>119</v>
      </c>
      <c r="F205" s="11" t="s">
        <v>120</v>
      </c>
      <c r="G205" s="11" t="s">
        <v>21</v>
      </c>
      <c r="H205" s="11">
        <v>3</v>
      </c>
      <c r="I205" s="11">
        <v>89.99</v>
      </c>
      <c r="J205" s="11" t="s">
        <v>59</v>
      </c>
      <c r="K205" s="11" t="s">
        <v>37</v>
      </c>
      <c r="L205" s="11" t="s">
        <v>29</v>
      </c>
      <c r="M205" s="14">
        <v>45307</v>
      </c>
      <c r="N205" s="11">
        <v>269.97000000000003</v>
      </c>
      <c r="O205" s="11" t="str">
        <f t="shared" si="27"/>
        <v>Jan</v>
      </c>
      <c r="P205" s="15">
        <f t="shared" ca="1" si="28"/>
        <v>46078</v>
      </c>
      <c r="Q205" s="18">
        <f t="shared" ca="1" si="29"/>
        <v>46078.801391898145</v>
      </c>
      <c r="R205" s="11">
        <f t="shared" ca="1" si="30"/>
        <v>2</v>
      </c>
      <c r="S205" s="15">
        <f t="shared" si="31"/>
        <v>45688</v>
      </c>
      <c r="T205" s="11">
        <f t="shared" si="32"/>
        <v>6169.7400000000007</v>
      </c>
      <c r="U205" s="11" t="str">
        <f t="shared" si="33"/>
        <v>Normal</v>
      </c>
      <c r="V205" s="11">
        <f t="shared" si="34"/>
        <v>34</v>
      </c>
      <c r="W205" s="6" t="str">
        <f t="shared" si="35"/>
        <v>M.B</v>
      </c>
    </row>
    <row r="206" spans="1:23" ht="15.75" customHeight="1" x14ac:dyDescent="0.3">
      <c r="A206" s="11" t="s">
        <v>353</v>
      </c>
      <c r="B206" s="15">
        <v>45692</v>
      </c>
      <c r="C206" s="11" t="s">
        <v>327</v>
      </c>
      <c r="D206" s="11" t="s">
        <v>328</v>
      </c>
      <c r="E206" s="11" t="s">
        <v>33</v>
      </c>
      <c r="F206" s="11" t="s">
        <v>34</v>
      </c>
      <c r="G206" s="11" t="s">
        <v>35</v>
      </c>
      <c r="H206" s="11">
        <v>1</v>
      </c>
      <c r="I206" s="11">
        <v>59.99</v>
      </c>
      <c r="J206" s="11" t="s">
        <v>59</v>
      </c>
      <c r="K206" s="11" t="s">
        <v>23</v>
      </c>
      <c r="L206" s="11" t="s">
        <v>38</v>
      </c>
      <c r="M206" s="14">
        <v>45045</v>
      </c>
      <c r="N206" s="11">
        <v>59.99</v>
      </c>
      <c r="O206" s="11" t="str">
        <f t="shared" si="27"/>
        <v>Feb</v>
      </c>
      <c r="P206" s="15">
        <f t="shared" ca="1" si="28"/>
        <v>46078</v>
      </c>
      <c r="Q206" s="18">
        <f t="shared" ca="1" si="29"/>
        <v>46078.801391898145</v>
      </c>
      <c r="R206" s="11">
        <f t="shared" ca="1" si="30"/>
        <v>2</v>
      </c>
      <c r="S206" s="15">
        <f t="shared" si="31"/>
        <v>45716</v>
      </c>
      <c r="T206" s="11">
        <f t="shared" si="32"/>
        <v>1559.94</v>
      </c>
      <c r="U206" s="11" t="str">
        <f t="shared" si="33"/>
        <v>Normal</v>
      </c>
      <c r="V206" s="11">
        <f t="shared" si="34"/>
        <v>29</v>
      </c>
      <c r="W206" s="6" t="str">
        <f t="shared" si="35"/>
        <v>A.E</v>
      </c>
    </row>
    <row r="207" spans="1:23" ht="15.75" customHeight="1" x14ac:dyDescent="0.3">
      <c r="A207" s="11" t="s">
        <v>354</v>
      </c>
      <c r="B207" s="15">
        <v>45695</v>
      </c>
      <c r="C207" s="11" t="s">
        <v>248</v>
      </c>
      <c r="D207" s="11" t="s">
        <v>249</v>
      </c>
      <c r="E207" s="11" t="s">
        <v>46</v>
      </c>
      <c r="F207" s="11" t="s">
        <v>47</v>
      </c>
      <c r="G207" s="11" t="s">
        <v>48</v>
      </c>
      <c r="H207" s="11">
        <v>3</v>
      </c>
      <c r="I207" s="11">
        <v>149.99</v>
      </c>
      <c r="J207" s="11" t="s">
        <v>59</v>
      </c>
      <c r="K207" s="11" t="s">
        <v>42</v>
      </c>
      <c r="L207" s="11" t="s">
        <v>29</v>
      </c>
      <c r="M207" s="14">
        <v>44564</v>
      </c>
      <c r="N207" s="11">
        <v>449.97</v>
      </c>
      <c r="O207" s="11" t="str">
        <f t="shared" si="27"/>
        <v>Feb</v>
      </c>
      <c r="P207" s="15">
        <f t="shared" ca="1" si="28"/>
        <v>46078</v>
      </c>
      <c r="Q207" s="18">
        <f t="shared" ca="1" si="29"/>
        <v>46078.801391898145</v>
      </c>
      <c r="R207" s="11">
        <f t="shared" ca="1" si="30"/>
        <v>4</v>
      </c>
      <c r="S207" s="15">
        <f t="shared" si="31"/>
        <v>45716</v>
      </c>
      <c r="T207" s="11">
        <f t="shared" si="32"/>
        <v>1749.92</v>
      </c>
      <c r="U207" s="11" t="str">
        <f t="shared" si="33"/>
        <v>Normal</v>
      </c>
      <c r="V207" s="11">
        <f t="shared" si="34"/>
        <v>35</v>
      </c>
      <c r="W207" s="6" t="str">
        <f t="shared" si="35"/>
        <v>R.B</v>
      </c>
    </row>
    <row r="208" spans="1:23" ht="15.75" customHeight="1" x14ac:dyDescent="0.3">
      <c r="A208" s="11" t="s">
        <v>355</v>
      </c>
      <c r="B208" s="15">
        <v>45695</v>
      </c>
      <c r="C208" s="11" t="s">
        <v>95</v>
      </c>
      <c r="D208" s="11" t="s">
        <v>96</v>
      </c>
      <c r="E208" s="11" t="s">
        <v>107</v>
      </c>
      <c r="F208" s="11" t="s">
        <v>108</v>
      </c>
      <c r="G208" s="11" t="s">
        <v>48</v>
      </c>
      <c r="H208" s="11">
        <v>5</v>
      </c>
      <c r="I208" s="11">
        <v>299.99</v>
      </c>
      <c r="J208" s="11" t="s">
        <v>28</v>
      </c>
      <c r="K208" s="11" t="s">
        <v>37</v>
      </c>
      <c r="L208" s="11" t="s">
        <v>24</v>
      </c>
      <c r="M208" s="14">
        <v>44959</v>
      </c>
      <c r="N208" s="11">
        <v>1499.95</v>
      </c>
      <c r="O208" s="11" t="str">
        <f t="shared" si="27"/>
        <v>Feb</v>
      </c>
      <c r="P208" s="15">
        <f t="shared" ca="1" si="28"/>
        <v>46078</v>
      </c>
      <c r="Q208" s="18">
        <f t="shared" ca="1" si="29"/>
        <v>46078.801391898145</v>
      </c>
      <c r="R208" s="11">
        <f t="shared" ca="1" si="30"/>
        <v>3</v>
      </c>
      <c r="S208" s="15">
        <f t="shared" si="31"/>
        <v>45716</v>
      </c>
      <c r="T208" s="11">
        <f t="shared" si="32"/>
        <v>4789.7900000000009</v>
      </c>
      <c r="U208" s="11" t="str">
        <f t="shared" si="33"/>
        <v>Normal</v>
      </c>
      <c r="V208" s="11">
        <f t="shared" si="34"/>
        <v>26</v>
      </c>
      <c r="W208" s="6" t="str">
        <f t="shared" si="35"/>
        <v>V.S</v>
      </c>
    </row>
    <row r="209" spans="1:23" ht="15.75" customHeight="1" x14ac:dyDescent="0.3">
      <c r="A209" s="11" t="s">
        <v>356</v>
      </c>
      <c r="B209" s="15">
        <v>45696</v>
      </c>
      <c r="C209" s="11" t="s">
        <v>152</v>
      </c>
      <c r="D209" s="11" t="s">
        <v>153</v>
      </c>
      <c r="E209" s="11" t="s">
        <v>33</v>
      </c>
      <c r="F209" s="11" t="s">
        <v>34</v>
      </c>
      <c r="G209" s="11" t="s">
        <v>35</v>
      </c>
      <c r="H209" s="11">
        <v>5</v>
      </c>
      <c r="I209" s="11">
        <v>59.99</v>
      </c>
      <c r="J209" s="11" t="s">
        <v>59</v>
      </c>
      <c r="K209" s="11" t="s">
        <v>23</v>
      </c>
      <c r="L209" s="11" t="s">
        <v>38</v>
      </c>
      <c r="M209" s="14">
        <v>45177</v>
      </c>
      <c r="N209" s="11">
        <v>299.95</v>
      </c>
      <c r="O209" s="11" t="str">
        <f t="shared" si="27"/>
        <v>Feb</v>
      </c>
      <c r="P209" s="15">
        <f t="shared" ca="1" si="28"/>
        <v>46078</v>
      </c>
      <c r="Q209" s="18">
        <f t="shared" ca="1" si="29"/>
        <v>46078.801391898145</v>
      </c>
      <c r="R209" s="11">
        <f t="shared" ca="1" si="30"/>
        <v>2</v>
      </c>
      <c r="S209" s="15">
        <f t="shared" si="31"/>
        <v>45716</v>
      </c>
      <c r="T209" s="11">
        <f t="shared" si="32"/>
        <v>5619.869999999999</v>
      </c>
      <c r="U209" s="11" t="str">
        <f t="shared" si="33"/>
        <v>Normal</v>
      </c>
      <c r="V209" s="11">
        <f t="shared" si="34"/>
        <v>29</v>
      </c>
      <c r="W209" s="6" t="str">
        <f t="shared" si="35"/>
        <v>S.B</v>
      </c>
    </row>
    <row r="210" spans="1:23" ht="15.75" customHeight="1" x14ac:dyDescent="0.3">
      <c r="A210" s="11" t="s">
        <v>357</v>
      </c>
      <c r="B210" s="15">
        <v>45701</v>
      </c>
      <c r="C210" s="11" t="s">
        <v>110</v>
      </c>
      <c r="D210" s="11" t="s">
        <v>111</v>
      </c>
      <c r="E210" s="11" t="s">
        <v>116</v>
      </c>
      <c r="F210" s="11" t="s">
        <v>117</v>
      </c>
      <c r="G210" s="11" t="s">
        <v>35</v>
      </c>
      <c r="H210" s="11">
        <v>3</v>
      </c>
      <c r="I210" s="11">
        <v>79.989999999999995</v>
      </c>
      <c r="J210" s="11" t="s">
        <v>22</v>
      </c>
      <c r="K210" s="11" t="s">
        <v>65</v>
      </c>
      <c r="L210" s="11" t="s">
        <v>29</v>
      </c>
      <c r="M210" s="14">
        <v>44436</v>
      </c>
      <c r="N210" s="11">
        <v>239.97</v>
      </c>
      <c r="O210" s="11" t="str">
        <f t="shared" si="27"/>
        <v>Feb</v>
      </c>
      <c r="P210" s="15">
        <f t="shared" ca="1" si="28"/>
        <v>46078</v>
      </c>
      <c r="Q210" s="18">
        <f t="shared" ca="1" si="29"/>
        <v>46078.801391898145</v>
      </c>
      <c r="R210" s="11">
        <f t="shared" ca="1" si="30"/>
        <v>4</v>
      </c>
      <c r="S210" s="15">
        <f t="shared" si="31"/>
        <v>45716</v>
      </c>
      <c r="T210" s="11">
        <f t="shared" si="32"/>
        <v>4189.7700000000004</v>
      </c>
      <c r="U210" s="11" t="str">
        <f t="shared" si="33"/>
        <v>Normal</v>
      </c>
      <c r="V210" s="11">
        <f t="shared" si="34"/>
        <v>14</v>
      </c>
      <c r="W210" s="6" t="str">
        <f t="shared" si="35"/>
        <v>N.C</v>
      </c>
    </row>
    <row r="211" spans="1:23" ht="15.75" customHeight="1" x14ac:dyDescent="0.3">
      <c r="A211" s="11" t="s">
        <v>358</v>
      </c>
      <c r="B211" s="15">
        <v>45704</v>
      </c>
      <c r="C211" s="11" t="s">
        <v>31</v>
      </c>
      <c r="D211" s="11" t="s">
        <v>32</v>
      </c>
      <c r="E211" s="11" t="s">
        <v>128</v>
      </c>
      <c r="F211" s="11" t="s">
        <v>129</v>
      </c>
      <c r="G211" s="11" t="s">
        <v>48</v>
      </c>
      <c r="H211" s="11">
        <v>3</v>
      </c>
      <c r="I211" s="11">
        <v>199.99</v>
      </c>
      <c r="J211" s="11" t="s">
        <v>22</v>
      </c>
      <c r="K211" s="11" t="s">
        <v>23</v>
      </c>
      <c r="L211" s="11" t="s">
        <v>24</v>
      </c>
      <c r="M211" s="14">
        <v>44735</v>
      </c>
      <c r="N211" s="11">
        <v>599.97</v>
      </c>
      <c r="O211" s="11" t="str">
        <f t="shared" si="27"/>
        <v>Feb</v>
      </c>
      <c r="P211" s="15">
        <f t="shared" ca="1" si="28"/>
        <v>46078</v>
      </c>
      <c r="Q211" s="18">
        <f t="shared" ca="1" si="29"/>
        <v>46078.801391898145</v>
      </c>
      <c r="R211" s="11">
        <f t="shared" ca="1" si="30"/>
        <v>3</v>
      </c>
      <c r="S211" s="15">
        <f t="shared" si="31"/>
        <v>45716</v>
      </c>
      <c r="T211" s="11">
        <f t="shared" si="32"/>
        <v>3259.87</v>
      </c>
      <c r="U211" s="11" t="str">
        <f t="shared" si="33"/>
        <v>Normal</v>
      </c>
      <c r="V211" s="11">
        <f t="shared" si="34"/>
        <v>15</v>
      </c>
      <c r="W211" s="6" t="str">
        <f t="shared" si="35"/>
        <v>K.S</v>
      </c>
    </row>
    <row r="212" spans="1:23" ht="15.75" customHeight="1" x14ac:dyDescent="0.3">
      <c r="A212" s="11" t="s">
        <v>359</v>
      </c>
      <c r="B212" s="15">
        <v>45704</v>
      </c>
      <c r="C212" s="11" t="s">
        <v>17</v>
      </c>
      <c r="D212" s="11" t="s">
        <v>18</v>
      </c>
      <c r="E212" s="11" t="s">
        <v>119</v>
      </c>
      <c r="F212" s="11" t="s">
        <v>120</v>
      </c>
      <c r="G212" s="11" t="s">
        <v>21</v>
      </c>
      <c r="H212" s="11">
        <v>2</v>
      </c>
      <c r="I212" s="11">
        <v>89.99</v>
      </c>
      <c r="J212" s="11" t="s">
        <v>36</v>
      </c>
      <c r="K212" s="11" t="s">
        <v>23</v>
      </c>
      <c r="L212" s="11" t="s">
        <v>24</v>
      </c>
      <c r="M212" s="14">
        <v>45257</v>
      </c>
      <c r="N212" s="11">
        <v>179.98</v>
      </c>
      <c r="O212" s="11" t="str">
        <f t="shared" si="27"/>
        <v>Feb</v>
      </c>
      <c r="P212" s="15">
        <f t="shared" ca="1" si="28"/>
        <v>46078</v>
      </c>
      <c r="Q212" s="18">
        <f t="shared" ca="1" si="29"/>
        <v>46078.801391898145</v>
      </c>
      <c r="R212" s="11">
        <f t="shared" ca="1" si="30"/>
        <v>2</v>
      </c>
      <c r="S212" s="15">
        <f t="shared" si="31"/>
        <v>45716</v>
      </c>
      <c r="T212" s="11">
        <f t="shared" si="32"/>
        <v>8309.739999999998</v>
      </c>
      <c r="U212" s="11" t="str">
        <f t="shared" si="33"/>
        <v>Normal</v>
      </c>
      <c r="V212" s="11">
        <f t="shared" si="34"/>
        <v>34</v>
      </c>
      <c r="W212" s="6" t="str">
        <f t="shared" si="35"/>
        <v>P.B</v>
      </c>
    </row>
    <row r="213" spans="1:23" ht="15.75" customHeight="1" x14ac:dyDescent="0.3">
      <c r="A213" s="11" t="s">
        <v>360</v>
      </c>
      <c r="B213" s="15">
        <v>45705</v>
      </c>
      <c r="C213" s="11" t="s">
        <v>261</v>
      </c>
      <c r="D213" s="11" t="s">
        <v>262</v>
      </c>
      <c r="E213" s="11" t="s">
        <v>46</v>
      </c>
      <c r="F213" s="11" t="s">
        <v>47</v>
      </c>
      <c r="G213" s="11" t="s">
        <v>48</v>
      </c>
      <c r="H213" s="11">
        <v>2</v>
      </c>
      <c r="I213" s="11">
        <v>149.99</v>
      </c>
      <c r="J213" s="11" t="s">
        <v>22</v>
      </c>
      <c r="K213" s="11" t="s">
        <v>37</v>
      </c>
      <c r="L213" s="11" t="s">
        <v>29</v>
      </c>
      <c r="M213" s="14">
        <v>44728</v>
      </c>
      <c r="N213" s="11">
        <v>299.98</v>
      </c>
      <c r="O213" s="11" t="str">
        <f t="shared" si="27"/>
        <v>Feb</v>
      </c>
      <c r="P213" s="15">
        <f t="shared" ca="1" si="28"/>
        <v>46078</v>
      </c>
      <c r="Q213" s="18">
        <f t="shared" ca="1" si="29"/>
        <v>46078.801391898145</v>
      </c>
      <c r="R213" s="11">
        <f t="shared" ca="1" si="30"/>
        <v>3</v>
      </c>
      <c r="S213" s="15">
        <f t="shared" si="31"/>
        <v>45716</v>
      </c>
      <c r="T213" s="11">
        <f t="shared" si="32"/>
        <v>739.93000000000006</v>
      </c>
      <c r="U213" s="11" t="str">
        <f t="shared" si="33"/>
        <v>Normal</v>
      </c>
      <c r="V213" s="11">
        <f t="shared" si="34"/>
        <v>35</v>
      </c>
      <c r="W213" s="6" t="str">
        <f t="shared" si="35"/>
        <v>R.L</v>
      </c>
    </row>
    <row r="214" spans="1:23" ht="15.75" customHeight="1" x14ac:dyDescent="0.3">
      <c r="A214" s="11" t="s">
        <v>361</v>
      </c>
      <c r="B214" s="15">
        <v>45707</v>
      </c>
      <c r="C214" s="11" t="s">
        <v>125</v>
      </c>
      <c r="D214" s="11" t="s">
        <v>126</v>
      </c>
      <c r="E214" s="11" t="s">
        <v>82</v>
      </c>
      <c r="F214" s="11" t="s">
        <v>83</v>
      </c>
      <c r="G214" s="11" t="s">
        <v>21</v>
      </c>
      <c r="H214" s="11">
        <v>5</v>
      </c>
      <c r="I214" s="11">
        <v>699.99</v>
      </c>
      <c r="J214" s="11" t="s">
        <v>36</v>
      </c>
      <c r="K214" s="11" t="s">
        <v>37</v>
      </c>
      <c r="L214" s="11" t="s">
        <v>29</v>
      </c>
      <c r="M214" s="14">
        <v>45352</v>
      </c>
      <c r="N214" s="11">
        <v>3499.95</v>
      </c>
      <c r="O214" s="11" t="str">
        <f t="shared" si="27"/>
        <v>Feb</v>
      </c>
      <c r="P214" s="15">
        <f t="shared" ca="1" si="28"/>
        <v>46078</v>
      </c>
      <c r="Q214" s="18">
        <f t="shared" ca="1" si="29"/>
        <v>46078.801391898145</v>
      </c>
      <c r="R214" s="11">
        <f t="shared" ca="1" si="30"/>
        <v>1</v>
      </c>
      <c r="S214" s="15">
        <f t="shared" si="31"/>
        <v>45716</v>
      </c>
      <c r="T214" s="11">
        <f t="shared" si="32"/>
        <v>11919.769999999999</v>
      </c>
      <c r="U214" s="11" t="str">
        <f t="shared" si="33"/>
        <v>High</v>
      </c>
      <c r="V214" s="11">
        <f t="shared" si="34"/>
        <v>31</v>
      </c>
      <c r="W214" s="6" t="str">
        <f t="shared" si="35"/>
        <v>E.M</v>
      </c>
    </row>
    <row r="215" spans="1:23" ht="15.75" customHeight="1" x14ac:dyDescent="0.3">
      <c r="A215" s="11" t="s">
        <v>362</v>
      </c>
      <c r="B215" s="15">
        <v>45707</v>
      </c>
      <c r="C215" s="11" t="s">
        <v>44</v>
      </c>
      <c r="D215" s="11" t="s">
        <v>45</v>
      </c>
      <c r="E215" s="11" t="s">
        <v>46</v>
      </c>
      <c r="F215" s="11" t="s">
        <v>47</v>
      </c>
      <c r="G215" s="11" t="s">
        <v>48</v>
      </c>
      <c r="H215" s="11">
        <v>3</v>
      </c>
      <c r="I215" s="11">
        <v>149.99</v>
      </c>
      <c r="J215" s="11" t="s">
        <v>36</v>
      </c>
      <c r="K215" s="11" t="s">
        <v>23</v>
      </c>
      <c r="L215" s="11" t="s">
        <v>38</v>
      </c>
      <c r="M215" s="14">
        <v>44633</v>
      </c>
      <c r="N215" s="11">
        <v>449.97</v>
      </c>
      <c r="O215" s="11" t="str">
        <f t="shared" si="27"/>
        <v>Feb</v>
      </c>
      <c r="P215" s="15">
        <f t="shared" ca="1" si="28"/>
        <v>46078</v>
      </c>
      <c r="Q215" s="18">
        <f t="shared" ca="1" si="29"/>
        <v>46078.801391898145</v>
      </c>
      <c r="R215" s="11">
        <f t="shared" ca="1" si="30"/>
        <v>3</v>
      </c>
      <c r="S215" s="15">
        <f t="shared" si="31"/>
        <v>45716</v>
      </c>
      <c r="T215" s="11">
        <f t="shared" si="32"/>
        <v>6169.7400000000007</v>
      </c>
      <c r="U215" s="11" t="str">
        <f t="shared" si="33"/>
        <v>Normal</v>
      </c>
      <c r="V215" s="11">
        <f t="shared" si="34"/>
        <v>35</v>
      </c>
      <c r="W215" s="6" t="str">
        <f t="shared" si="35"/>
        <v>M.B</v>
      </c>
    </row>
    <row r="216" spans="1:23" ht="15.75" customHeight="1" x14ac:dyDescent="0.3">
      <c r="A216" s="11" t="s">
        <v>363</v>
      </c>
      <c r="B216" s="15">
        <v>45708</v>
      </c>
      <c r="C216" s="11" t="s">
        <v>98</v>
      </c>
      <c r="D216" s="11" t="s">
        <v>99</v>
      </c>
      <c r="E216" s="11" t="s">
        <v>63</v>
      </c>
      <c r="F216" s="11" t="s">
        <v>64</v>
      </c>
      <c r="G216" s="11" t="s">
        <v>21</v>
      </c>
      <c r="H216" s="11">
        <v>3</v>
      </c>
      <c r="I216" s="11">
        <v>899.99</v>
      </c>
      <c r="J216" s="11" t="s">
        <v>22</v>
      </c>
      <c r="K216" s="11" t="s">
        <v>65</v>
      </c>
      <c r="L216" s="11" t="s">
        <v>38</v>
      </c>
      <c r="M216" s="14">
        <v>44613</v>
      </c>
      <c r="N216" s="11">
        <v>2699.97</v>
      </c>
      <c r="O216" s="11" t="str">
        <f t="shared" si="27"/>
        <v>Feb</v>
      </c>
      <c r="P216" s="15">
        <f t="shared" ca="1" si="28"/>
        <v>46078</v>
      </c>
      <c r="Q216" s="18">
        <f t="shared" ca="1" si="29"/>
        <v>46078.801391898145</v>
      </c>
      <c r="R216" s="11">
        <f t="shared" ca="1" si="30"/>
        <v>4</v>
      </c>
      <c r="S216" s="15">
        <f t="shared" si="31"/>
        <v>45716</v>
      </c>
      <c r="T216" s="11">
        <f t="shared" si="32"/>
        <v>10649.8</v>
      </c>
      <c r="U216" s="11" t="str">
        <f t="shared" si="33"/>
        <v>High</v>
      </c>
      <c r="V216" s="11">
        <f t="shared" si="34"/>
        <v>24</v>
      </c>
      <c r="W216" s="6" t="str">
        <f t="shared" si="35"/>
        <v>B.Y</v>
      </c>
    </row>
    <row r="217" spans="1:23" ht="15.75" customHeight="1" x14ac:dyDescent="0.3">
      <c r="A217" s="11" t="s">
        <v>364</v>
      </c>
      <c r="B217" s="15">
        <v>45708</v>
      </c>
      <c r="C217" s="11" t="s">
        <v>194</v>
      </c>
      <c r="D217" s="11" t="s">
        <v>195</v>
      </c>
      <c r="E217" s="11" t="s">
        <v>128</v>
      </c>
      <c r="F217" s="11" t="s">
        <v>129</v>
      </c>
      <c r="G217" s="11" t="s">
        <v>48</v>
      </c>
      <c r="H217" s="11">
        <v>3</v>
      </c>
      <c r="I217" s="11">
        <v>199.99</v>
      </c>
      <c r="J217" s="11" t="s">
        <v>22</v>
      </c>
      <c r="K217" s="11" t="s">
        <v>52</v>
      </c>
      <c r="L217" s="11" t="s">
        <v>29</v>
      </c>
      <c r="M217" s="14">
        <v>44823</v>
      </c>
      <c r="N217" s="11">
        <v>599.97</v>
      </c>
      <c r="O217" s="11" t="str">
        <f t="shared" si="27"/>
        <v>Feb</v>
      </c>
      <c r="P217" s="15">
        <f t="shared" ca="1" si="28"/>
        <v>46078</v>
      </c>
      <c r="Q217" s="18">
        <f t="shared" ca="1" si="29"/>
        <v>46078.801391898145</v>
      </c>
      <c r="R217" s="11">
        <f t="shared" ca="1" si="30"/>
        <v>3</v>
      </c>
      <c r="S217" s="15">
        <f t="shared" si="31"/>
        <v>45716</v>
      </c>
      <c r="T217" s="11">
        <f t="shared" si="32"/>
        <v>1479.91</v>
      </c>
      <c r="U217" s="11" t="str">
        <f t="shared" si="33"/>
        <v>Normal</v>
      </c>
      <c r="V217" s="11">
        <f t="shared" si="34"/>
        <v>15</v>
      </c>
      <c r="W217" s="6" t="str">
        <f t="shared" si="35"/>
        <v>F.T</v>
      </c>
    </row>
    <row r="218" spans="1:23" ht="15.75" customHeight="1" x14ac:dyDescent="0.3">
      <c r="A218" s="11" t="s">
        <v>365</v>
      </c>
      <c r="B218" s="15">
        <v>45710</v>
      </c>
      <c r="C218" s="11" t="s">
        <v>57</v>
      </c>
      <c r="D218" s="11" t="s">
        <v>58</v>
      </c>
      <c r="E218" s="11" t="s">
        <v>107</v>
      </c>
      <c r="F218" s="11" t="s">
        <v>108</v>
      </c>
      <c r="G218" s="11" t="s">
        <v>48</v>
      </c>
      <c r="H218" s="11">
        <v>5</v>
      </c>
      <c r="I218" s="11">
        <v>299.99</v>
      </c>
      <c r="J218" s="11" t="s">
        <v>22</v>
      </c>
      <c r="K218" s="11" t="s">
        <v>52</v>
      </c>
      <c r="L218" s="11" t="s">
        <v>38</v>
      </c>
      <c r="M218" s="14">
        <v>45142</v>
      </c>
      <c r="N218" s="11">
        <v>1499.95</v>
      </c>
      <c r="O218" s="11" t="str">
        <f t="shared" si="27"/>
        <v>Feb</v>
      </c>
      <c r="P218" s="15">
        <f t="shared" ca="1" si="28"/>
        <v>46078</v>
      </c>
      <c r="Q218" s="18">
        <f t="shared" ca="1" si="29"/>
        <v>46078.801391898145</v>
      </c>
      <c r="R218" s="11">
        <f t="shared" ca="1" si="30"/>
        <v>2</v>
      </c>
      <c r="S218" s="15">
        <f t="shared" si="31"/>
        <v>45716</v>
      </c>
      <c r="T218" s="11">
        <f t="shared" si="32"/>
        <v>5089.7300000000005</v>
      </c>
      <c r="U218" s="11" t="str">
        <f t="shared" si="33"/>
        <v>Normal</v>
      </c>
      <c r="V218" s="11">
        <f t="shared" si="34"/>
        <v>26</v>
      </c>
      <c r="W218" s="6" t="str">
        <f t="shared" si="35"/>
        <v>C.A</v>
      </c>
    </row>
    <row r="219" spans="1:23" ht="15.75" customHeight="1" x14ac:dyDescent="0.3">
      <c r="A219" s="11" t="s">
        <v>366</v>
      </c>
      <c r="B219" s="15">
        <v>45710</v>
      </c>
      <c r="C219" s="11" t="s">
        <v>152</v>
      </c>
      <c r="D219" s="11" t="s">
        <v>153</v>
      </c>
      <c r="E219" s="11" t="s">
        <v>82</v>
      </c>
      <c r="F219" s="11" t="s">
        <v>83</v>
      </c>
      <c r="G219" s="11" t="s">
        <v>21</v>
      </c>
      <c r="H219" s="11">
        <v>1</v>
      </c>
      <c r="I219" s="11">
        <v>699.99</v>
      </c>
      <c r="J219" s="11" t="s">
        <v>36</v>
      </c>
      <c r="K219" s="11" t="s">
        <v>52</v>
      </c>
      <c r="L219" s="11" t="s">
        <v>24</v>
      </c>
      <c r="M219" s="14">
        <v>44934</v>
      </c>
      <c r="N219" s="11">
        <v>699.99</v>
      </c>
      <c r="O219" s="11" t="str">
        <f t="shared" si="27"/>
        <v>Feb</v>
      </c>
      <c r="P219" s="15">
        <f t="shared" ca="1" si="28"/>
        <v>46078</v>
      </c>
      <c r="Q219" s="18">
        <f t="shared" ca="1" si="29"/>
        <v>46078.801391898145</v>
      </c>
      <c r="R219" s="11">
        <f t="shared" ca="1" si="30"/>
        <v>3</v>
      </c>
      <c r="S219" s="15">
        <f t="shared" si="31"/>
        <v>45716</v>
      </c>
      <c r="T219" s="11">
        <f t="shared" si="32"/>
        <v>5619.869999999999</v>
      </c>
      <c r="U219" s="11" t="str">
        <f t="shared" si="33"/>
        <v>Normal</v>
      </c>
      <c r="V219" s="11">
        <f t="shared" si="34"/>
        <v>31</v>
      </c>
      <c r="W219" s="6" t="str">
        <f t="shared" si="35"/>
        <v>S.B</v>
      </c>
    </row>
    <row r="220" spans="1:23" ht="15.75" customHeight="1" x14ac:dyDescent="0.3">
      <c r="A220" s="11" t="s">
        <v>367</v>
      </c>
      <c r="B220" s="15">
        <v>45711</v>
      </c>
      <c r="C220" s="11" t="s">
        <v>248</v>
      </c>
      <c r="D220" s="11" t="s">
        <v>249</v>
      </c>
      <c r="E220" s="11" t="s">
        <v>82</v>
      </c>
      <c r="F220" s="11" t="s">
        <v>83</v>
      </c>
      <c r="G220" s="11" t="s">
        <v>21</v>
      </c>
      <c r="H220" s="11">
        <v>1</v>
      </c>
      <c r="I220" s="11">
        <v>699.99</v>
      </c>
      <c r="J220" s="11" t="s">
        <v>22</v>
      </c>
      <c r="K220" s="11" t="s">
        <v>42</v>
      </c>
      <c r="L220" s="11" t="s">
        <v>29</v>
      </c>
      <c r="M220" s="14">
        <v>44583</v>
      </c>
      <c r="N220" s="11">
        <v>699.99</v>
      </c>
      <c r="O220" s="11" t="str">
        <f t="shared" si="27"/>
        <v>Feb</v>
      </c>
      <c r="P220" s="15">
        <f t="shared" ca="1" si="28"/>
        <v>46078</v>
      </c>
      <c r="Q220" s="18">
        <f t="shared" ca="1" si="29"/>
        <v>46078.801391898145</v>
      </c>
      <c r="R220" s="11">
        <f t="shared" ca="1" si="30"/>
        <v>4</v>
      </c>
      <c r="S220" s="15">
        <f t="shared" si="31"/>
        <v>45716</v>
      </c>
      <c r="T220" s="11">
        <f t="shared" si="32"/>
        <v>1749.92</v>
      </c>
      <c r="U220" s="11" t="str">
        <f t="shared" si="33"/>
        <v>Normal</v>
      </c>
      <c r="V220" s="11">
        <f t="shared" si="34"/>
        <v>31</v>
      </c>
      <c r="W220" s="6" t="str">
        <f t="shared" si="35"/>
        <v>R.B</v>
      </c>
    </row>
    <row r="221" spans="1:23" ht="15.75" customHeight="1" x14ac:dyDescent="0.3">
      <c r="A221" s="11" t="s">
        <v>368</v>
      </c>
      <c r="B221" s="15">
        <v>45711</v>
      </c>
      <c r="C221" s="11" t="s">
        <v>327</v>
      </c>
      <c r="D221" s="11" t="s">
        <v>328</v>
      </c>
      <c r="E221" s="11" t="s">
        <v>46</v>
      </c>
      <c r="F221" s="11" t="s">
        <v>47</v>
      </c>
      <c r="G221" s="11" t="s">
        <v>48</v>
      </c>
      <c r="H221" s="11">
        <v>4</v>
      </c>
      <c r="I221" s="11">
        <v>149.99</v>
      </c>
      <c r="J221" s="11" t="s">
        <v>36</v>
      </c>
      <c r="K221" s="11" t="s">
        <v>42</v>
      </c>
      <c r="L221" s="11" t="s">
        <v>29</v>
      </c>
      <c r="M221" s="14">
        <v>44412</v>
      </c>
      <c r="N221" s="11">
        <v>599.96</v>
      </c>
      <c r="O221" s="11" t="str">
        <f t="shared" si="27"/>
        <v>Feb</v>
      </c>
      <c r="P221" s="15">
        <f t="shared" ca="1" si="28"/>
        <v>46078</v>
      </c>
      <c r="Q221" s="18">
        <f t="shared" ca="1" si="29"/>
        <v>46078.801391898145</v>
      </c>
      <c r="R221" s="11">
        <f t="shared" ca="1" si="30"/>
        <v>4</v>
      </c>
      <c r="S221" s="15">
        <f t="shared" si="31"/>
        <v>45716</v>
      </c>
      <c r="T221" s="11">
        <f t="shared" si="32"/>
        <v>1559.94</v>
      </c>
      <c r="U221" s="11" t="str">
        <f t="shared" si="33"/>
        <v>Normal</v>
      </c>
      <c r="V221" s="11">
        <f t="shared" si="34"/>
        <v>35</v>
      </c>
      <c r="W221" s="6" t="str">
        <f t="shared" si="35"/>
        <v>A.E</v>
      </c>
    </row>
    <row r="222" spans="1:23" ht="15.75" customHeight="1" x14ac:dyDescent="0.3">
      <c r="A222" s="11" t="s">
        <v>369</v>
      </c>
      <c r="B222" s="15">
        <v>45711</v>
      </c>
      <c r="C222" s="11" t="s">
        <v>213</v>
      </c>
      <c r="D222" s="11" t="s">
        <v>214</v>
      </c>
      <c r="E222" s="11" t="s">
        <v>119</v>
      </c>
      <c r="F222" s="11" t="s">
        <v>120</v>
      </c>
      <c r="G222" s="11" t="s">
        <v>21</v>
      </c>
      <c r="H222" s="11">
        <v>5</v>
      </c>
      <c r="I222" s="11">
        <v>89.99</v>
      </c>
      <c r="J222" s="11" t="s">
        <v>36</v>
      </c>
      <c r="K222" s="11" t="s">
        <v>52</v>
      </c>
      <c r="L222" s="11" t="s">
        <v>29</v>
      </c>
      <c r="M222" s="14">
        <v>45140</v>
      </c>
      <c r="N222" s="11">
        <v>449.95</v>
      </c>
      <c r="O222" s="11" t="str">
        <f t="shared" si="27"/>
        <v>Feb</v>
      </c>
      <c r="P222" s="15">
        <f t="shared" ca="1" si="28"/>
        <v>46078</v>
      </c>
      <c r="Q222" s="18">
        <f t="shared" ca="1" si="29"/>
        <v>46078.801391898145</v>
      </c>
      <c r="R222" s="11">
        <f t="shared" ca="1" si="30"/>
        <v>2</v>
      </c>
      <c r="S222" s="15">
        <f t="shared" si="31"/>
        <v>45716</v>
      </c>
      <c r="T222" s="11">
        <f t="shared" si="32"/>
        <v>3649.8599999999997</v>
      </c>
      <c r="U222" s="11" t="str">
        <f t="shared" si="33"/>
        <v>Normal</v>
      </c>
      <c r="V222" s="11">
        <f t="shared" si="34"/>
        <v>34</v>
      </c>
      <c r="W222" s="6" t="str">
        <f t="shared" si="35"/>
        <v>E.H</v>
      </c>
    </row>
    <row r="223" spans="1:23" ht="15.75" customHeight="1" x14ac:dyDescent="0.3">
      <c r="A223" s="11" t="s">
        <v>370</v>
      </c>
      <c r="B223" s="15">
        <v>45712</v>
      </c>
      <c r="C223" s="11" t="s">
        <v>140</v>
      </c>
      <c r="D223" s="11" t="s">
        <v>141</v>
      </c>
      <c r="E223" s="11" t="s">
        <v>128</v>
      </c>
      <c r="F223" s="11" t="s">
        <v>129</v>
      </c>
      <c r="G223" s="11" t="s">
        <v>48</v>
      </c>
      <c r="H223" s="11">
        <v>2</v>
      </c>
      <c r="I223" s="11">
        <v>199.99</v>
      </c>
      <c r="J223" s="11" t="s">
        <v>22</v>
      </c>
      <c r="K223" s="11" t="s">
        <v>23</v>
      </c>
      <c r="L223" s="11" t="s">
        <v>29</v>
      </c>
      <c r="M223" s="14">
        <v>44573</v>
      </c>
      <c r="N223" s="11">
        <v>399.98</v>
      </c>
      <c r="O223" s="11" t="str">
        <f t="shared" si="27"/>
        <v>Feb</v>
      </c>
      <c r="P223" s="15">
        <f t="shared" ca="1" si="28"/>
        <v>46078</v>
      </c>
      <c r="Q223" s="18">
        <f t="shared" ca="1" si="29"/>
        <v>46078.801391898145</v>
      </c>
      <c r="R223" s="11">
        <f t="shared" ca="1" si="30"/>
        <v>4</v>
      </c>
      <c r="S223" s="15">
        <f t="shared" si="31"/>
        <v>45716</v>
      </c>
      <c r="T223" s="11">
        <f t="shared" si="32"/>
        <v>2649.83</v>
      </c>
      <c r="U223" s="11" t="str">
        <f t="shared" si="33"/>
        <v>Normal</v>
      </c>
      <c r="V223" s="11">
        <f t="shared" si="34"/>
        <v>15</v>
      </c>
      <c r="W223" s="6" t="str">
        <f t="shared" si="35"/>
        <v>S.T</v>
      </c>
    </row>
    <row r="224" spans="1:23" ht="15.75" customHeight="1" x14ac:dyDescent="0.3">
      <c r="A224" s="11" t="s">
        <v>371</v>
      </c>
      <c r="B224" s="15">
        <v>45715</v>
      </c>
      <c r="C224" s="11" t="s">
        <v>261</v>
      </c>
      <c r="D224" s="11" t="s">
        <v>262</v>
      </c>
      <c r="E224" s="11" t="s">
        <v>33</v>
      </c>
      <c r="F224" s="11" t="s">
        <v>34</v>
      </c>
      <c r="G224" s="11" t="s">
        <v>35</v>
      </c>
      <c r="H224" s="11">
        <v>4</v>
      </c>
      <c r="I224" s="11">
        <v>59.99</v>
      </c>
      <c r="J224" s="11" t="s">
        <v>22</v>
      </c>
      <c r="K224" s="11" t="s">
        <v>52</v>
      </c>
      <c r="L224" s="11" t="s">
        <v>38</v>
      </c>
      <c r="M224" s="14">
        <v>45070</v>
      </c>
      <c r="N224" s="11">
        <v>239.96</v>
      </c>
      <c r="O224" s="11" t="str">
        <f t="shared" si="27"/>
        <v>Feb</v>
      </c>
      <c r="P224" s="15">
        <f t="shared" ca="1" si="28"/>
        <v>46078</v>
      </c>
      <c r="Q224" s="18">
        <f t="shared" ca="1" si="29"/>
        <v>46078.801391898145</v>
      </c>
      <c r="R224" s="11">
        <f t="shared" ca="1" si="30"/>
        <v>2</v>
      </c>
      <c r="S224" s="15">
        <f t="shared" si="31"/>
        <v>45716</v>
      </c>
      <c r="T224" s="11">
        <f t="shared" si="32"/>
        <v>739.93000000000006</v>
      </c>
      <c r="U224" s="11" t="str">
        <f t="shared" si="33"/>
        <v>Normal</v>
      </c>
      <c r="V224" s="11">
        <f t="shared" si="34"/>
        <v>29</v>
      </c>
      <c r="W224" s="6" t="str">
        <f t="shared" si="35"/>
        <v>R.L</v>
      </c>
    </row>
    <row r="225" spans="1:23" ht="15.75" customHeight="1" x14ac:dyDescent="0.3">
      <c r="A225" s="11" t="s">
        <v>372</v>
      </c>
      <c r="B225" s="15">
        <v>45715</v>
      </c>
      <c r="C225" s="11" t="s">
        <v>95</v>
      </c>
      <c r="D225" s="11" t="s">
        <v>96</v>
      </c>
      <c r="E225" s="11" t="s">
        <v>107</v>
      </c>
      <c r="F225" s="11" t="s">
        <v>108</v>
      </c>
      <c r="G225" s="11" t="s">
        <v>48</v>
      </c>
      <c r="H225" s="11">
        <v>2</v>
      </c>
      <c r="I225" s="11">
        <v>299.99</v>
      </c>
      <c r="J225" s="11" t="s">
        <v>36</v>
      </c>
      <c r="K225" s="11" t="s">
        <v>37</v>
      </c>
      <c r="L225" s="11" t="s">
        <v>24</v>
      </c>
      <c r="M225" s="14">
        <v>44576</v>
      </c>
      <c r="N225" s="11">
        <v>599.98</v>
      </c>
      <c r="O225" s="11" t="str">
        <f t="shared" si="27"/>
        <v>Feb</v>
      </c>
      <c r="P225" s="15">
        <f t="shared" ca="1" si="28"/>
        <v>46078</v>
      </c>
      <c r="Q225" s="18">
        <f t="shared" ca="1" si="29"/>
        <v>46078.801391898145</v>
      </c>
      <c r="R225" s="11">
        <f t="shared" ca="1" si="30"/>
        <v>4</v>
      </c>
      <c r="S225" s="15">
        <f t="shared" si="31"/>
        <v>45716</v>
      </c>
      <c r="T225" s="11">
        <f t="shared" si="32"/>
        <v>4789.7900000000009</v>
      </c>
      <c r="U225" s="11" t="str">
        <f t="shared" si="33"/>
        <v>Normal</v>
      </c>
      <c r="V225" s="11">
        <f t="shared" si="34"/>
        <v>26</v>
      </c>
      <c r="W225" s="6" t="str">
        <f t="shared" si="35"/>
        <v>V.S</v>
      </c>
    </row>
    <row r="226" spans="1:23" ht="15.75" customHeight="1" x14ac:dyDescent="0.3">
      <c r="A226" s="11" t="s">
        <v>373</v>
      </c>
      <c r="B226" s="15">
        <v>45718</v>
      </c>
      <c r="C226" s="11" t="s">
        <v>57</v>
      </c>
      <c r="D226" s="11" t="s">
        <v>58</v>
      </c>
      <c r="E226" s="11" t="s">
        <v>46</v>
      </c>
      <c r="F226" s="11" t="s">
        <v>47</v>
      </c>
      <c r="G226" s="11" t="s">
        <v>48</v>
      </c>
      <c r="H226" s="11">
        <v>2</v>
      </c>
      <c r="I226" s="11">
        <v>149.99</v>
      </c>
      <c r="J226" s="11" t="s">
        <v>22</v>
      </c>
      <c r="K226" s="11" t="s">
        <v>23</v>
      </c>
      <c r="L226" s="11" t="s">
        <v>24</v>
      </c>
      <c r="M226" s="14">
        <v>45068</v>
      </c>
      <c r="N226" s="11">
        <v>299.98</v>
      </c>
      <c r="O226" s="11" t="str">
        <f t="shared" si="27"/>
        <v>Mar</v>
      </c>
      <c r="P226" s="15">
        <f t="shared" ca="1" si="28"/>
        <v>46078</v>
      </c>
      <c r="Q226" s="18">
        <f t="shared" ca="1" si="29"/>
        <v>46078.801391898145</v>
      </c>
      <c r="R226" s="11">
        <f t="shared" ca="1" si="30"/>
        <v>2</v>
      </c>
      <c r="S226" s="15">
        <f t="shared" si="31"/>
        <v>45747</v>
      </c>
      <c r="T226" s="11">
        <f t="shared" si="32"/>
        <v>5089.7300000000005</v>
      </c>
      <c r="U226" s="11" t="str">
        <f t="shared" si="33"/>
        <v>Normal</v>
      </c>
      <c r="V226" s="11">
        <f t="shared" si="34"/>
        <v>35</v>
      </c>
      <c r="W226" s="6" t="str">
        <f t="shared" si="35"/>
        <v>C.A</v>
      </c>
    </row>
    <row r="227" spans="1:23" ht="15.75" customHeight="1" x14ac:dyDescent="0.3">
      <c r="A227" s="11" t="s">
        <v>374</v>
      </c>
      <c r="B227" s="15">
        <v>45720</v>
      </c>
      <c r="C227" s="11" t="s">
        <v>228</v>
      </c>
      <c r="D227" s="11" t="s">
        <v>229</v>
      </c>
      <c r="E227" s="11" t="s">
        <v>82</v>
      </c>
      <c r="F227" s="11" t="s">
        <v>83</v>
      </c>
      <c r="G227" s="11" t="s">
        <v>21</v>
      </c>
      <c r="H227" s="11">
        <v>5</v>
      </c>
      <c r="I227" s="11">
        <v>699.99</v>
      </c>
      <c r="J227" s="11" t="s">
        <v>59</v>
      </c>
      <c r="K227" s="11" t="s">
        <v>65</v>
      </c>
      <c r="L227" s="11" t="s">
        <v>29</v>
      </c>
      <c r="M227" s="14">
        <v>45161</v>
      </c>
      <c r="N227" s="11">
        <v>3499.95</v>
      </c>
      <c r="O227" s="11" t="str">
        <f t="shared" si="27"/>
        <v>Mar</v>
      </c>
      <c r="P227" s="15">
        <f t="shared" ca="1" si="28"/>
        <v>46078</v>
      </c>
      <c r="Q227" s="18">
        <f t="shared" ca="1" si="29"/>
        <v>46078.801391898145</v>
      </c>
      <c r="R227" s="11">
        <f t="shared" ca="1" si="30"/>
        <v>2</v>
      </c>
      <c r="S227" s="15">
        <f t="shared" si="31"/>
        <v>45747</v>
      </c>
      <c r="T227" s="11">
        <f t="shared" si="32"/>
        <v>6989.7699999999986</v>
      </c>
      <c r="U227" s="11" t="str">
        <f t="shared" si="33"/>
        <v>Normal</v>
      </c>
      <c r="V227" s="11">
        <f t="shared" si="34"/>
        <v>31</v>
      </c>
      <c r="W227" s="6" t="str">
        <f t="shared" si="35"/>
        <v>L.R</v>
      </c>
    </row>
    <row r="228" spans="1:23" ht="15.75" customHeight="1" x14ac:dyDescent="0.3">
      <c r="A228" s="11" t="s">
        <v>375</v>
      </c>
      <c r="B228" s="15">
        <v>45721</v>
      </c>
      <c r="C228" s="11" t="s">
        <v>77</v>
      </c>
      <c r="D228" s="11" t="s">
        <v>78</v>
      </c>
      <c r="E228" s="11" t="s">
        <v>33</v>
      </c>
      <c r="F228" s="11" t="s">
        <v>34</v>
      </c>
      <c r="G228" s="11" t="s">
        <v>35</v>
      </c>
      <c r="H228" s="11">
        <v>5</v>
      </c>
      <c r="I228" s="11">
        <v>59.99</v>
      </c>
      <c r="J228" s="11" t="s">
        <v>22</v>
      </c>
      <c r="K228" s="11" t="s">
        <v>52</v>
      </c>
      <c r="L228" s="11" t="s">
        <v>29</v>
      </c>
      <c r="M228" s="14">
        <v>45291</v>
      </c>
      <c r="N228" s="11">
        <v>299.95</v>
      </c>
      <c r="O228" s="11" t="str">
        <f t="shared" si="27"/>
        <v>Mar</v>
      </c>
      <c r="P228" s="15">
        <f t="shared" ca="1" si="28"/>
        <v>46078</v>
      </c>
      <c r="Q228" s="18">
        <f t="shared" ca="1" si="29"/>
        <v>46078.801391898145</v>
      </c>
      <c r="R228" s="11">
        <f t="shared" ca="1" si="30"/>
        <v>2</v>
      </c>
      <c r="S228" s="15">
        <f t="shared" si="31"/>
        <v>45747</v>
      </c>
      <c r="T228" s="11">
        <f t="shared" si="32"/>
        <v>479.91999999999996</v>
      </c>
      <c r="U228" s="11" t="str">
        <f t="shared" si="33"/>
        <v>Normal</v>
      </c>
      <c r="V228" s="11">
        <f t="shared" si="34"/>
        <v>29</v>
      </c>
      <c r="W228" s="6" t="str">
        <f t="shared" si="35"/>
        <v>D.G</v>
      </c>
    </row>
    <row r="229" spans="1:23" ht="15.75" customHeight="1" x14ac:dyDescent="0.3">
      <c r="A229" s="11" t="s">
        <v>376</v>
      </c>
      <c r="B229" s="15">
        <v>45723</v>
      </c>
      <c r="C229" s="11" t="s">
        <v>17</v>
      </c>
      <c r="D229" s="11" t="s">
        <v>18</v>
      </c>
      <c r="E229" s="11" t="s">
        <v>119</v>
      </c>
      <c r="F229" s="11" t="s">
        <v>120</v>
      </c>
      <c r="G229" s="11" t="s">
        <v>21</v>
      </c>
      <c r="H229" s="11">
        <v>2</v>
      </c>
      <c r="I229" s="11">
        <v>89.99</v>
      </c>
      <c r="J229" s="11" t="s">
        <v>28</v>
      </c>
      <c r="K229" s="11" t="s">
        <v>52</v>
      </c>
      <c r="L229" s="11" t="s">
        <v>29</v>
      </c>
      <c r="M229" s="14">
        <v>45295</v>
      </c>
      <c r="N229" s="11">
        <v>179.98</v>
      </c>
      <c r="O229" s="11" t="str">
        <f t="shared" si="27"/>
        <v>Mar</v>
      </c>
      <c r="P229" s="15">
        <f t="shared" ca="1" si="28"/>
        <v>46078</v>
      </c>
      <c r="Q229" s="18">
        <f t="shared" ca="1" si="29"/>
        <v>46078.801391898145</v>
      </c>
      <c r="R229" s="11">
        <f t="shared" ca="1" si="30"/>
        <v>2</v>
      </c>
      <c r="S229" s="15">
        <f t="shared" si="31"/>
        <v>45747</v>
      </c>
      <c r="T229" s="11">
        <f t="shared" si="32"/>
        <v>8309.739999999998</v>
      </c>
      <c r="U229" s="11" t="str">
        <f t="shared" si="33"/>
        <v>Normal</v>
      </c>
      <c r="V229" s="11">
        <f t="shared" si="34"/>
        <v>34</v>
      </c>
      <c r="W229" s="6" t="str">
        <f t="shared" si="35"/>
        <v>P.B</v>
      </c>
    </row>
    <row r="230" spans="1:23" ht="15.75" customHeight="1" x14ac:dyDescent="0.3">
      <c r="A230" s="11" t="s">
        <v>377</v>
      </c>
      <c r="B230" s="15">
        <v>45723</v>
      </c>
      <c r="C230" s="11" t="s">
        <v>122</v>
      </c>
      <c r="D230" s="11" t="s">
        <v>123</v>
      </c>
      <c r="E230" s="11" t="s">
        <v>19</v>
      </c>
      <c r="F230" s="11" t="s">
        <v>20</v>
      </c>
      <c r="G230" s="11" t="s">
        <v>21</v>
      </c>
      <c r="H230" s="11">
        <v>5</v>
      </c>
      <c r="I230" s="11">
        <v>249.99</v>
      </c>
      <c r="J230" s="11" t="s">
        <v>22</v>
      </c>
      <c r="K230" s="11" t="s">
        <v>65</v>
      </c>
      <c r="L230" s="11" t="s">
        <v>38</v>
      </c>
      <c r="M230" s="14">
        <v>44540</v>
      </c>
      <c r="N230" s="11">
        <v>1249.95</v>
      </c>
      <c r="O230" s="11" t="str">
        <f t="shared" si="27"/>
        <v>Mar</v>
      </c>
      <c r="P230" s="15">
        <f t="shared" ca="1" si="28"/>
        <v>46078</v>
      </c>
      <c r="Q230" s="18">
        <f t="shared" ca="1" si="29"/>
        <v>46078.801391898145</v>
      </c>
      <c r="R230" s="11">
        <f t="shared" ca="1" si="30"/>
        <v>4</v>
      </c>
      <c r="S230" s="15">
        <f t="shared" si="31"/>
        <v>45747</v>
      </c>
      <c r="T230" s="11">
        <f t="shared" si="32"/>
        <v>6459.79</v>
      </c>
      <c r="U230" s="11" t="str">
        <f t="shared" si="33"/>
        <v>Normal</v>
      </c>
      <c r="V230" s="11">
        <f t="shared" si="34"/>
        <v>26</v>
      </c>
      <c r="W230" s="6" t="str">
        <f t="shared" si="35"/>
        <v>H.R</v>
      </c>
    </row>
    <row r="231" spans="1:23" ht="15.75" customHeight="1" x14ac:dyDescent="0.3">
      <c r="A231" s="11" t="s">
        <v>378</v>
      </c>
      <c r="B231" s="15">
        <v>45724</v>
      </c>
      <c r="C231" s="11" t="s">
        <v>228</v>
      </c>
      <c r="D231" s="11" t="s">
        <v>229</v>
      </c>
      <c r="E231" s="11" t="s">
        <v>46</v>
      </c>
      <c r="F231" s="11" t="s">
        <v>47</v>
      </c>
      <c r="G231" s="11" t="s">
        <v>48</v>
      </c>
      <c r="H231" s="11">
        <v>2</v>
      </c>
      <c r="I231" s="11">
        <v>149.99</v>
      </c>
      <c r="J231" s="11" t="s">
        <v>36</v>
      </c>
      <c r="K231" s="11" t="s">
        <v>23</v>
      </c>
      <c r="L231" s="11" t="s">
        <v>29</v>
      </c>
      <c r="M231" s="14">
        <v>44632</v>
      </c>
      <c r="N231" s="11">
        <v>299.98</v>
      </c>
      <c r="O231" s="11" t="str">
        <f t="shared" si="27"/>
        <v>Mar</v>
      </c>
      <c r="P231" s="15">
        <f t="shared" ca="1" si="28"/>
        <v>46078</v>
      </c>
      <c r="Q231" s="18">
        <f t="shared" ca="1" si="29"/>
        <v>46078.801391898145</v>
      </c>
      <c r="R231" s="11">
        <f t="shared" ca="1" si="30"/>
        <v>3</v>
      </c>
      <c r="S231" s="15">
        <f t="shared" si="31"/>
        <v>45747</v>
      </c>
      <c r="T231" s="11">
        <f t="shared" si="32"/>
        <v>6989.7699999999986</v>
      </c>
      <c r="U231" s="11" t="str">
        <f t="shared" si="33"/>
        <v>Normal</v>
      </c>
      <c r="V231" s="11">
        <f t="shared" si="34"/>
        <v>35</v>
      </c>
      <c r="W231" s="6" t="str">
        <f t="shared" si="35"/>
        <v>L.R</v>
      </c>
    </row>
    <row r="232" spans="1:23" ht="15.75" customHeight="1" x14ac:dyDescent="0.3">
      <c r="A232" s="11" t="s">
        <v>379</v>
      </c>
      <c r="B232" s="15">
        <v>45724</v>
      </c>
      <c r="C232" s="11" t="s">
        <v>146</v>
      </c>
      <c r="D232" s="11" t="s">
        <v>147</v>
      </c>
      <c r="E232" s="11" t="s">
        <v>63</v>
      </c>
      <c r="F232" s="11" t="s">
        <v>64</v>
      </c>
      <c r="G232" s="11" t="s">
        <v>21</v>
      </c>
      <c r="H232" s="11">
        <v>5</v>
      </c>
      <c r="I232" s="11">
        <v>899.99</v>
      </c>
      <c r="J232" s="11" t="s">
        <v>36</v>
      </c>
      <c r="K232" s="11" t="s">
        <v>65</v>
      </c>
      <c r="L232" s="11" t="s">
        <v>29</v>
      </c>
      <c r="M232" s="14">
        <v>45389</v>
      </c>
      <c r="N232" s="11">
        <v>4499.95</v>
      </c>
      <c r="O232" s="11" t="str">
        <f t="shared" si="27"/>
        <v>Mar</v>
      </c>
      <c r="P232" s="15">
        <f t="shared" ca="1" si="28"/>
        <v>46078</v>
      </c>
      <c r="Q232" s="18">
        <f t="shared" ca="1" si="29"/>
        <v>46078.801391898145</v>
      </c>
      <c r="R232" s="11">
        <f t="shared" ca="1" si="30"/>
        <v>1</v>
      </c>
      <c r="S232" s="15">
        <f t="shared" si="31"/>
        <v>45747</v>
      </c>
      <c r="T232" s="11">
        <f t="shared" si="32"/>
        <v>5519.8899999999994</v>
      </c>
      <c r="U232" s="11" t="str">
        <f t="shared" si="33"/>
        <v>Normal</v>
      </c>
      <c r="V232" s="11">
        <f t="shared" si="34"/>
        <v>24</v>
      </c>
      <c r="W232" s="6" t="str">
        <f t="shared" si="35"/>
        <v>H.M</v>
      </c>
    </row>
    <row r="233" spans="1:23" ht="15.75" customHeight="1" x14ac:dyDescent="0.3">
      <c r="A233" s="11" t="s">
        <v>380</v>
      </c>
      <c r="B233" s="15">
        <v>45724</v>
      </c>
      <c r="C233" s="11" t="s">
        <v>57</v>
      </c>
      <c r="D233" s="11" t="s">
        <v>58</v>
      </c>
      <c r="E233" s="11" t="s">
        <v>46</v>
      </c>
      <c r="F233" s="11" t="s">
        <v>47</v>
      </c>
      <c r="G233" s="11" t="s">
        <v>48</v>
      </c>
      <c r="H233" s="11">
        <v>4</v>
      </c>
      <c r="I233" s="11">
        <v>149.99</v>
      </c>
      <c r="J233" s="11" t="s">
        <v>22</v>
      </c>
      <c r="K233" s="11" t="s">
        <v>23</v>
      </c>
      <c r="L233" s="11" t="s">
        <v>38</v>
      </c>
      <c r="M233" s="14">
        <v>45263</v>
      </c>
      <c r="N233" s="11">
        <v>599.96</v>
      </c>
      <c r="O233" s="11" t="str">
        <f t="shared" si="27"/>
        <v>Mar</v>
      </c>
      <c r="P233" s="15">
        <f t="shared" ca="1" si="28"/>
        <v>46078</v>
      </c>
      <c r="Q233" s="18">
        <f t="shared" ca="1" si="29"/>
        <v>46078.801391898145</v>
      </c>
      <c r="R233" s="11">
        <f t="shared" ca="1" si="30"/>
        <v>2</v>
      </c>
      <c r="S233" s="15">
        <f t="shared" si="31"/>
        <v>45747</v>
      </c>
      <c r="T233" s="11">
        <f t="shared" si="32"/>
        <v>5089.7300000000005</v>
      </c>
      <c r="U233" s="11" t="str">
        <f t="shared" si="33"/>
        <v>Normal</v>
      </c>
      <c r="V233" s="11">
        <f t="shared" si="34"/>
        <v>35</v>
      </c>
      <c r="W233" s="6" t="str">
        <f t="shared" si="35"/>
        <v>C.A</v>
      </c>
    </row>
    <row r="234" spans="1:23" ht="15.75" customHeight="1" x14ac:dyDescent="0.3">
      <c r="A234" s="11" t="s">
        <v>381</v>
      </c>
      <c r="B234" s="15">
        <v>45726</v>
      </c>
      <c r="C234" s="11" t="s">
        <v>146</v>
      </c>
      <c r="D234" s="11" t="s">
        <v>147</v>
      </c>
      <c r="E234" s="11" t="s">
        <v>19</v>
      </c>
      <c r="F234" s="11" t="s">
        <v>20</v>
      </c>
      <c r="G234" s="11" t="s">
        <v>21</v>
      </c>
      <c r="H234" s="11">
        <v>1</v>
      </c>
      <c r="I234" s="11">
        <v>249.99</v>
      </c>
      <c r="J234" s="11" t="s">
        <v>22</v>
      </c>
      <c r="K234" s="11" t="s">
        <v>42</v>
      </c>
      <c r="L234" s="11" t="s">
        <v>38</v>
      </c>
      <c r="M234" s="14">
        <v>45117</v>
      </c>
      <c r="N234" s="11">
        <v>249.99</v>
      </c>
      <c r="O234" s="11" t="str">
        <f t="shared" si="27"/>
        <v>Mar</v>
      </c>
      <c r="P234" s="15">
        <f t="shared" ca="1" si="28"/>
        <v>46078</v>
      </c>
      <c r="Q234" s="18">
        <f t="shared" ca="1" si="29"/>
        <v>46078.801391898145</v>
      </c>
      <c r="R234" s="11">
        <f t="shared" ca="1" si="30"/>
        <v>2</v>
      </c>
      <c r="S234" s="15">
        <f t="shared" si="31"/>
        <v>45747</v>
      </c>
      <c r="T234" s="11">
        <f t="shared" si="32"/>
        <v>5519.8899999999994</v>
      </c>
      <c r="U234" s="11" t="str">
        <f t="shared" si="33"/>
        <v>Normal</v>
      </c>
      <c r="V234" s="11">
        <f t="shared" si="34"/>
        <v>26</v>
      </c>
      <c r="W234" s="6" t="str">
        <f t="shared" si="35"/>
        <v>H.M</v>
      </c>
    </row>
    <row r="235" spans="1:23" ht="15.75" customHeight="1" x14ac:dyDescent="0.3">
      <c r="A235" s="11" t="s">
        <v>382</v>
      </c>
      <c r="B235" s="15">
        <v>45734</v>
      </c>
      <c r="C235" s="11" t="s">
        <v>194</v>
      </c>
      <c r="D235" s="11" t="s">
        <v>195</v>
      </c>
      <c r="E235" s="11" t="s">
        <v>33</v>
      </c>
      <c r="F235" s="11" t="s">
        <v>34</v>
      </c>
      <c r="G235" s="11" t="s">
        <v>35</v>
      </c>
      <c r="H235" s="11">
        <v>2</v>
      </c>
      <c r="I235" s="11">
        <v>59.99</v>
      </c>
      <c r="J235" s="11" t="s">
        <v>28</v>
      </c>
      <c r="K235" s="11" t="s">
        <v>52</v>
      </c>
      <c r="L235" s="11" t="s">
        <v>24</v>
      </c>
      <c r="M235" s="14">
        <v>45193</v>
      </c>
      <c r="N235" s="11">
        <v>119.98</v>
      </c>
      <c r="O235" s="11" t="str">
        <f t="shared" si="27"/>
        <v>Mar</v>
      </c>
      <c r="P235" s="15">
        <f t="shared" ca="1" si="28"/>
        <v>46078</v>
      </c>
      <c r="Q235" s="18">
        <f t="shared" ca="1" si="29"/>
        <v>46078.801391898145</v>
      </c>
      <c r="R235" s="11">
        <f t="shared" ca="1" si="30"/>
        <v>2</v>
      </c>
      <c r="S235" s="15">
        <f t="shared" si="31"/>
        <v>45747</v>
      </c>
      <c r="T235" s="11">
        <f t="shared" si="32"/>
        <v>1479.91</v>
      </c>
      <c r="U235" s="11" t="str">
        <f t="shared" si="33"/>
        <v>Normal</v>
      </c>
      <c r="V235" s="11">
        <f t="shared" si="34"/>
        <v>29</v>
      </c>
      <c r="W235" s="6" t="str">
        <f t="shared" si="35"/>
        <v>F.T</v>
      </c>
    </row>
    <row r="236" spans="1:23" ht="15.75" customHeight="1" x14ac:dyDescent="0.3">
      <c r="A236" s="11" t="s">
        <v>383</v>
      </c>
      <c r="B236" s="15">
        <v>45737</v>
      </c>
      <c r="C236" s="11" t="s">
        <v>134</v>
      </c>
      <c r="D236" s="11" t="s">
        <v>135</v>
      </c>
      <c r="E236" s="11" t="s">
        <v>46</v>
      </c>
      <c r="F236" s="11" t="s">
        <v>47</v>
      </c>
      <c r="G236" s="11" t="s">
        <v>48</v>
      </c>
      <c r="H236" s="11">
        <v>2</v>
      </c>
      <c r="I236" s="11">
        <v>149.99</v>
      </c>
      <c r="J236" s="11" t="s">
        <v>22</v>
      </c>
      <c r="K236" s="11" t="s">
        <v>52</v>
      </c>
      <c r="L236" s="11" t="s">
        <v>29</v>
      </c>
      <c r="M236" s="14">
        <v>45233</v>
      </c>
      <c r="N236" s="11">
        <v>299.98</v>
      </c>
      <c r="O236" s="11" t="str">
        <f t="shared" si="27"/>
        <v>Mar</v>
      </c>
      <c r="P236" s="15">
        <f t="shared" ca="1" si="28"/>
        <v>46078</v>
      </c>
      <c r="Q236" s="18">
        <f t="shared" ca="1" si="29"/>
        <v>46078.801391898145</v>
      </c>
      <c r="R236" s="11">
        <f t="shared" ca="1" si="30"/>
        <v>2</v>
      </c>
      <c r="S236" s="15">
        <f t="shared" si="31"/>
        <v>45747</v>
      </c>
      <c r="T236" s="11">
        <f t="shared" si="32"/>
        <v>1229.8800000000001</v>
      </c>
      <c r="U236" s="11" t="str">
        <f t="shared" si="33"/>
        <v>Normal</v>
      </c>
      <c r="V236" s="11">
        <f t="shared" si="34"/>
        <v>35</v>
      </c>
      <c r="W236" s="6" t="str">
        <f t="shared" si="35"/>
        <v>E.W</v>
      </c>
    </row>
    <row r="237" spans="1:23" ht="15.75" customHeight="1" x14ac:dyDescent="0.3">
      <c r="A237" s="11" t="s">
        <v>384</v>
      </c>
      <c r="B237" s="15">
        <v>45737</v>
      </c>
      <c r="C237" s="11" t="s">
        <v>152</v>
      </c>
      <c r="D237" s="11" t="s">
        <v>153</v>
      </c>
      <c r="E237" s="11" t="s">
        <v>63</v>
      </c>
      <c r="F237" s="11" t="s">
        <v>64</v>
      </c>
      <c r="G237" s="11" t="s">
        <v>21</v>
      </c>
      <c r="H237" s="11">
        <v>3</v>
      </c>
      <c r="I237" s="11">
        <v>899.99</v>
      </c>
      <c r="J237" s="11" t="s">
        <v>59</v>
      </c>
      <c r="K237" s="11" t="s">
        <v>42</v>
      </c>
      <c r="L237" s="11" t="s">
        <v>29</v>
      </c>
      <c r="M237" s="14">
        <v>44876</v>
      </c>
      <c r="N237" s="11">
        <v>2699.97</v>
      </c>
      <c r="O237" s="11" t="str">
        <f t="shared" si="27"/>
        <v>Mar</v>
      </c>
      <c r="P237" s="15">
        <f t="shared" ca="1" si="28"/>
        <v>46078</v>
      </c>
      <c r="Q237" s="18">
        <f t="shared" ca="1" si="29"/>
        <v>46078.801391898145</v>
      </c>
      <c r="R237" s="11">
        <f t="shared" ca="1" si="30"/>
        <v>3</v>
      </c>
      <c r="S237" s="15">
        <f t="shared" si="31"/>
        <v>45747</v>
      </c>
      <c r="T237" s="11">
        <f t="shared" si="32"/>
        <v>5619.869999999999</v>
      </c>
      <c r="U237" s="11" t="str">
        <f t="shared" si="33"/>
        <v>Normal</v>
      </c>
      <c r="V237" s="11">
        <f t="shared" si="34"/>
        <v>24</v>
      </c>
      <c r="W237" s="6" t="str">
        <f t="shared" si="35"/>
        <v>S.B</v>
      </c>
    </row>
    <row r="238" spans="1:23" ht="15.75" customHeight="1" x14ac:dyDescent="0.3">
      <c r="A238" s="11" t="s">
        <v>385</v>
      </c>
      <c r="B238" s="15">
        <v>45737</v>
      </c>
      <c r="C238" s="11" t="s">
        <v>50</v>
      </c>
      <c r="D238" s="11" t="s">
        <v>51</v>
      </c>
      <c r="E238" s="11" t="s">
        <v>63</v>
      </c>
      <c r="F238" s="11" t="s">
        <v>64</v>
      </c>
      <c r="G238" s="11" t="s">
        <v>21</v>
      </c>
      <c r="H238" s="11">
        <v>3</v>
      </c>
      <c r="I238" s="11">
        <v>899.99</v>
      </c>
      <c r="J238" s="11" t="s">
        <v>36</v>
      </c>
      <c r="K238" s="11" t="s">
        <v>42</v>
      </c>
      <c r="L238" s="11" t="s">
        <v>24</v>
      </c>
      <c r="M238" s="14">
        <v>44975</v>
      </c>
      <c r="N238" s="11">
        <v>2699.97</v>
      </c>
      <c r="O238" s="11" t="str">
        <f t="shared" si="27"/>
        <v>Mar</v>
      </c>
      <c r="P238" s="15">
        <f t="shared" ca="1" si="28"/>
        <v>46078</v>
      </c>
      <c r="Q238" s="18">
        <f t="shared" ca="1" si="29"/>
        <v>46078.801391898145</v>
      </c>
      <c r="R238" s="11">
        <f t="shared" ca="1" si="30"/>
        <v>3</v>
      </c>
      <c r="S238" s="15">
        <f t="shared" si="31"/>
        <v>45747</v>
      </c>
      <c r="T238" s="11">
        <f t="shared" si="32"/>
        <v>8269.7900000000009</v>
      </c>
      <c r="U238" s="11" t="str">
        <f t="shared" si="33"/>
        <v>Normal</v>
      </c>
      <c r="V238" s="11">
        <f t="shared" si="34"/>
        <v>24</v>
      </c>
      <c r="W238" s="6" t="str">
        <f t="shared" si="35"/>
        <v>D.N</v>
      </c>
    </row>
    <row r="239" spans="1:23" ht="15.75" customHeight="1" x14ac:dyDescent="0.3">
      <c r="A239" s="11" t="s">
        <v>386</v>
      </c>
      <c r="B239" s="15">
        <v>45739</v>
      </c>
      <c r="C239" s="11" t="s">
        <v>17</v>
      </c>
      <c r="D239" s="11" t="s">
        <v>18</v>
      </c>
      <c r="E239" s="11" t="s">
        <v>107</v>
      </c>
      <c r="F239" s="11" t="s">
        <v>108</v>
      </c>
      <c r="G239" s="11" t="s">
        <v>48</v>
      </c>
      <c r="H239" s="11">
        <v>3</v>
      </c>
      <c r="I239" s="11">
        <v>299.99</v>
      </c>
      <c r="J239" s="11" t="s">
        <v>28</v>
      </c>
      <c r="K239" s="11" t="s">
        <v>52</v>
      </c>
      <c r="L239" s="11" t="s">
        <v>29</v>
      </c>
      <c r="M239" s="14">
        <v>45234</v>
      </c>
      <c r="N239" s="11">
        <v>899.97</v>
      </c>
      <c r="O239" s="11" t="str">
        <f t="shared" si="27"/>
        <v>Mar</v>
      </c>
      <c r="P239" s="15">
        <f t="shared" ca="1" si="28"/>
        <v>46078</v>
      </c>
      <c r="Q239" s="18">
        <f t="shared" ca="1" si="29"/>
        <v>46078.801391898145</v>
      </c>
      <c r="R239" s="11">
        <f t="shared" ca="1" si="30"/>
        <v>2</v>
      </c>
      <c r="S239" s="15">
        <f t="shared" si="31"/>
        <v>45747</v>
      </c>
      <c r="T239" s="11">
        <f t="shared" si="32"/>
        <v>8309.739999999998</v>
      </c>
      <c r="U239" s="11" t="str">
        <f t="shared" si="33"/>
        <v>Normal</v>
      </c>
      <c r="V239" s="11">
        <f t="shared" si="34"/>
        <v>26</v>
      </c>
      <c r="W239" s="6" t="str">
        <f t="shared" si="35"/>
        <v>P.B</v>
      </c>
    </row>
    <row r="240" spans="1:23" ht="15.75" customHeight="1" x14ac:dyDescent="0.3">
      <c r="A240" s="11" t="s">
        <v>387</v>
      </c>
      <c r="B240" s="15">
        <v>45740</v>
      </c>
      <c r="C240" s="11" t="s">
        <v>388</v>
      </c>
      <c r="D240" s="11" t="s">
        <v>389</v>
      </c>
      <c r="E240" s="11" t="s">
        <v>46</v>
      </c>
      <c r="F240" s="11" t="s">
        <v>47</v>
      </c>
      <c r="G240" s="11" t="s">
        <v>48</v>
      </c>
      <c r="H240" s="11">
        <v>4</v>
      </c>
      <c r="I240" s="11">
        <v>149.99</v>
      </c>
      <c r="J240" s="11" t="s">
        <v>36</v>
      </c>
      <c r="K240" s="11" t="s">
        <v>52</v>
      </c>
      <c r="L240" s="11" t="s">
        <v>38</v>
      </c>
      <c r="M240" s="14">
        <v>44560</v>
      </c>
      <c r="N240" s="11">
        <v>599.96</v>
      </c>
      <c r="O240" s="11" t="str">
        <f t="shared" si="27"/>
        <v>Mar</v>
      </c>
      <c r="P240" s="15">
        <f t="shared" ca="1" si="28"/>
        <v>46078</v>
      </c>
      <c r="Q240" s="18">
        <f t="shared" ca="1" si="29"/>
        <v>46078.801391898145</v>
      </c>
      <c r="R240" s="11">
        <f t="shared" ca="1" si="30"/>
        <v>4</v>
      </c>
      <c r="S240" s="15">
        <f t="shared" si="31"/>
        <v>45747</v>
      </c>
      <c r="T240" s="11">
        <f t="shared" si="32"/>
        <v>599.96</v>
      </c>
      <c r="U240" s="11" t="str">
        <f t="shared" si="33"/>
        <v>Normal</v>
      </c>
      <c r="V240" s="11">
        <f t="shared" si="34"/>
        <v>35</v>
      </c>
      <c r="W240" s="6" t="str">
        <f t="shared" si="35"/>
        <v>J.S</v>
      </c>
    </row>
    <row r="241" spans="1:23" ht="15.75" customHeight="1" x14ac:dyDescent="0.3">
      <c r="A241" s="11" t="s">
        <v>390</v>
      </c>
      <c r="B241" s="15">
        <v>45743</v>
      </c>
      <c r="C241" s="11" t="s">
        <v>104</v>
      </c>
      <c r="D241" s="11" t="s">
        <v>105</v>
      </c>
      <c r="E241" s="11" t="s">
        <v>116</v>
      </c>
      <c r="F241" s="11" t="s">
        <v>117</v>
      </c>
      <c r="G241" s="11" t="s">
        <v>35</v>
      </c>
      <c r="H241" s="11">
        <v>4</v>
      </c>
      <c r="I241" s="11">
        <v>79.989999999999995</v>
      </c>
      <c r="J241" s="11" t="s">
        <v>28</v>
      </c>
      <c r="K241" s="11" t="s">
        <v>23</v>
      </c>
      <c r="L241" s="11" t="s">
        <v>24</v>
      </c>
      <c r="M241" s="14">
        <v>45288</v>
      </c>
      <c r="N241" s="11">
        <v>319.95999999999998</v>
      </c>
      <c r="O241" s="11" t="str">
        <f t="shared" si="27"/>
        <v>Mar</v>
      </c>
      <c r="P241" s="15">
        <f t="shared" ca="1" si="28"/>
        <v>46078</v>
      </c>
      <c r="Q241" s="18">
        <f t="shared" ca="1" si="29"/>
        <v>46078.801391898145</v>
      </c>
      <c r="R241" s="11">
        <f t="shared" ca="1" si="30"/>
        <v>2</v>
      </c>
      <c r="S241" s="15">
        <f t="shared" si="31"/>
        <v>45747</v>
      </c>
      <c r="T241" s="11">
        <f t="shared" si="32"/>
        <v>3769.8300000000004</v>
      </c>
      <c r="U241" s="11" t="str">
        <f t="shared" si="33"/>
        <v>Normal</v>
      </c>
      <c r="V241" s="11">
        <f t="shared" si="34"/>
        <v>14</v>
      </c>
      <c r="W241" s="6" t="str">
        <f t="shared" si="35"/>
        <v>C.P</v>
      </c>
    </row>
    <row r="242" spans="1:23" ht="15.75" customHeight="1" x14ac:dyDescent="0.3">
      <c r="A242" s="11" t="s">
        <v>391</v>
      </c>
      <c r="B242" s="15">
        <v>45745</v>
      </c>
      <c r="C242" s="11" t="s">
        <v>187</v>
      </c>
      <c r="D242" s="11" t="s">
        <v>188</v>
      </c>
      <c r="E242" s="11" t="s">
        <v>119</v>
      </c>
      <c r="F242" s="11" t="s">
        <v>120</v>
      </c>
      <c r="G242" s="11" t="s">
        <v>21</v>
      </c>
      <c r="H242" s="11">
        <v>5</v>
      </c>
      <c r="I242" s="11">
        <v>89.99</v>
      </c>
      <c r="J242" s="11" t="s">
        <v>36</v>
      </c>
      <c r="K242" s="11" t="s">
        <v>37</v>
      </c>
      <c r="L242" s="11" t="s">
        <v>24</v>
      </c>
      <c r="M242" s="14">
        <v>44704</v>
      </c>
      <c r="N242" s="11">
        <v>449.95</v>
      </c>
      <c r="O242" s="11" t="str">
        <f t="shared" si="27"/>
        <v>Mar</v>
      </c>
      <c r="P242" s="15">
        <f t="shared" ca="1" si="28"/>
        <v>46078</v>
      </c>
      <c r="Q242" s="18">
        <f t="shared" ca="1" si="29"/>
        <v>46078.801391898145</v>
      </c>
      <c r="R242" s="11">
        <f t="shared" ca="1" si="30"/>
        <v>3</v>
      </c>
      <c r="S242" s="15">
        <f t="shared" si="31"/>
        <v>45747</v>
      </c>
      <c r="T242" s="11">
        <f t="shared" si="32"/>
        <v>2099.88</v>
      </c>
      <c r="U242" s="11" t="str">
        <f t="shared" si="33"/>
        <v>Normal</v>
      </c>
      <c r="V242" s="11">
        <f t="shared" si="34"/>
        <v>34</v>
      </c>
      <c r="W242" s="6" t="str">
        <f t="shared" si="35"/>
        <v>M.W</v>
      </c>
    </row>
    <row r="243" spans="1:23" ht="15.75" customHeight="1" x14ac:dyDescent="0.3">
      <c r="A243" s="11" t="s">
        <v>392</v>
      </c>
      <c r="B243" s="15">
        <v>45746</v>
      </c>
      <c r="C243" s="11" t="s">
        <v>95</v>
      </c>
      <c r="D243" s="11" t="s">
        <v>96</v>
      </c>
      <c r="E243" s="11" t="s">
        <v>46</v>
      </c>
      <c r="F243" s="11" t="s">
        <v>47</v>
      </c>
      <c r="G243" s="11" t="s">
        <v>48</v>
      </c>
      <c r="H243" s="11">
        <v>3</v>
      </c>
      <c r="I243" s="11">
        <v>149.99</v>
      </c>
      <c r="J243" s="11" t="s">
        <v>36</v>
      </c>
      <c r="K243" s="11" t="s">
        <v>23</v>
      </c>
      <c r="L243" s="11" t="s">
        <v>38</v>
      </c>
      <c r="M243" s="14">
        <v>45171</v>
      </c>
      <c r="N243" s="11">
        <v>449.97</v>
      </c>
      <c r="O243" s="11" t="str">
        <f t="shared" si="27"/>
        <v>Mar</v>
      </c>
      <c r="P243" s="15">
        <f t="shared" ca="1" si="28"/>
        <v>46078</v>
      </c>
      <c r="Q243" s="18">
        <f t="shared" ca="1" si="29"/>
        <v>46078.801391898145</v>
      </c>
      <c r="R243" s="11">
        <f t="shared" ca="1" si="30"/>
        <v>2</v>
      </c>
      <c r="S243" s="15">
        <f t="shared" si="31"/>
        <v>45747</v>
      </c>
      <c r="T243" s="11">
        <f t="shared" si="32"/>
        <v>4789.7900000000009</v>
      </c>
      <c r="U243" s="11" t="str">
        <f t="shared" si="33"/>
        <v>Normal</v>
      </c>
      <c r="V243" s="11">
        <f t="shared" si="34"/>
        <v>35</v>
      </c>
      <c r="W243" s="6" t="str">
        <f t="shared" si="35"/>
        <v>V.S</v>
      </c>
    </row>
    <row r="244" spans="1:23" ht="15.75" customHeight="1" x14ac:dyDescent="0.3">
      <c r="A244" s="11" t="s">
        <v>393</v>
      </c>
      <c r="B244" s="15">
        <v>45746</v>
      </c>
      <c r="C244" s="11" t="s">
        <v>67</v>
      </c>
      <c r="D244" s="11" t="s">
        <v>68</v>
      </c>
      <c r="E244" s="11" t="s">
        <v>119</v>
      </c>
      <c r="F244" s="11" t="s">
        <v>120</v>
      </c>
      <c r="G244" s="11" t="s">
        <v>21</v>
      </c>
      <c r="H244" s="11">
        <v>2</v>
      </c>
      <c r="I244" s="11">
        <v>89.99</v>
      </c>
      <c r="J244" s="11" t="s">
        <v>59</v>
      </c>
      <c r="K244" s="11" t="s">
        <v>52</v>
      </c>
      <c r="L244" s="11" t="s">
        <v>29</v>
      </c>
      <c r="M244" s="14">
        <v>44522</v>
      </c>
      <c r="N244" s="11">
        <v>179.98</v>
      </c>
      <c r="O244" s="11" t="str">
        <f t="shared" si="27"/>
        <v>Mar</v>
      </c>
      <c r="P244" s="15">
        <f t="shared" ca="1" si="28"/>
        <v>46078</v>
      </c>
      <c r="Q244" s="18">
        <f t="shared" ca="1" si="29"/>
        <v>46078.801391898145</v>
      </c>
      <c r="R244" s="11">
        <f t="shared" ca="1" si="30"/>
        <v>4</v>
      </c>
      <c r="S244" s="15">
        <f t="shared" si="31"/>
        <v>45747</v>
      </c>
      <c r="T244" s="11">
        <f t="shared" si="32"/>
        <v>8009.7699999999995</v>
      </c>
      <c r="U244" s="11" t="str">
        <f t="shared" si="33"/>
        <v>Normal</v>
      </c>
      <c r="V244" s="11">
        <f t="shared" si="34"/>
        <v>34</v>
      </c>
      <c r="W244" s="6" t="str">
        <f t="shared" si="35"/>
        <v>K.H</v>
      </c>
    </row>
    <row r="245" spans="1:23" ht="15.75" customHeight="1" x14ac:dyDescent="0.3">
      <c r="A245" s="11" t="s">
        <v>394</v>
      </c>
      <c r="B245" s="15">
        <v>45748</v>
      </c>
      <c r="C245" s="11" t="s">
        <v>104</v>
      </c>
      <c r="D245" s="11" t="s">
        <v>105</v>
      </c>
      <c r="E245" s="11" t="s">
        <v>82</v>
      </c>
      <c r="F245" s="11" t="s">
        <v>83</v>
      </c>
      <c r="G245" s="11" t="s">
        <v>21</v>
      </c>
      <c r="H245" s="11">
        <v>2</v>
      </c>
      <c r="I245" s="11">
        <v>699.99</v>
      </c>
      <c r="J245" s="11" t="s">
        <v>36</v>
      </c>
      <c r="K245" s="11" t="s">
        <v>42</v>
      </c>
      <c r="L245" s="11" t="s">
        <v>38</v>
      </c>
      <c r="M245" s="14">
        <v>44618</v>
      </c>
      <c r="N245" s="11">
        <v>1399.98</v>
      </c>
      <c r="O245" s="11" t="str">
        <f t="shared" si="27"/>
        <v>Apr</v>
      </c>
      <c r="P245" s="15">
        <f t="shared" ca="1" si="28"/>
        <v>46078</v>
      </c>
      <c r="Q245" s="18">
        <f t="shared" ca="1" si="29"/>
        <v>46078.801391898145</v>
      </c>
      <c r="R245" s="11">
        <f t="shared" ca="1" si="30"/>
        <v>3</v>
      </c>
      <c r="S245" s="15">
        <f t="shared" si="31"/>
        <v>45777</v>
      </c>
      <c r="T245" s="11">
        <f t="shared" si="32"/>
        <v>3769.8300000000004</v>
      </c>
      <c r="U245" s="11" t="str">
        <f t="shared" si="33"/>
        <v>Normal</v>
      </c>
      <c r="V245" s="11">
        <f t="shared" si="34"/>
        <v>31</v>
      </c>
      <c r="W245" s="6" t="str">
        <f t="shared" si="35"/>
        <v>C.P</v>
      </c>
    </row>
    <row r="246" spans="1:23" ht="15.75" customHeight="1" x14ac:dyDescent="0.3">
      <c r="A246" s="11" t="s">
        <v>395</v>
      </c>
      <c r="B246" s="15">
        <v>45749</v>
      </c>
      <c r="C246" s="11" t="s">
        <v>125</v>
      </c>
      <c r="D246" s="11" t="s">
        <v>126</v>
      </c>
      <c r="E246" s="11" t="s">
        <v>63</v>
      </c>
      <c r="F246" s="11" t="s">
        <v>64</v>
      </c>
      <c r="G246" s="11" t="s">
        <v>21</v>
      </c>
      <c r="H246" s="11">
        <v>3</v>
      </c>
      <c r="I246" s="11">
        <v>899.99</v>
      </c>
      <c r="J246" s="11" t="s">
        <v>22</v>
      </c>
      <c r="K246" s="11" t="s">
        <v>23</v>
      </c>
      <c r="L246" s="11" t="s">
        <v>38</v>
      </c>
      <c r="M246" s="14">
        <v>44953</v>
      </c>
      <c r="N246" s="11">
        <v>2699.97</v>
      </c>
      <c r="O246" s="11" t="str">
        <f t="shared" si="27"/>
        <v>Apr</v>
      </c>
      <c r="P246" s="15">
        <f t="shared" ca="1" si="28"/>
        <v>46078</v>
      </c>
      <c r="Q246" s="18">
        <f t="shared" ca="1" si="29"/>
        <v>46078.801391898145</v>
      </c>
      <c r="R246" s="11">
        <f t="shared" ca="1" si="30"/>
        <v>3</v>
      </c>
      <c r="S246" s="15">
        <f t="shared" si="31"/>
        <v>45777</v>
      </c>
      <c r="T246" s="11">
        <f t="shared" si="32"/>
        <v>11919.769999999999</v>
      </c>
      <c r="U246" s="11" t="str">
        <f t="shared" si="33"/>
        <v>High</v>
      </c>
      <c r="V246" s="11">
        <f t="shared" si="34"/>
        <v>24</v>
      </c>
      <c r="W246" s="6" t="str">
        <f t="shared" si="35"/>
        <v>E.M</v>
      </c>
    </row>
    <row r="247" spans="1:23" ht="15.75" customHeight="1" x14ac:dyDescent="0.3">
      <c r="A247" s="11" t="s">
        <v>396</v>
      </c>
      <c r="B247" s="15">
        <v>45755</v>
      </c>
      <c r="C247" s="11" t="s">
        <v>95</v>
      </c>
      <c r="D247" s="11" t="s">
        <v>96</v>
      </c>
      <c r="E247" s="11" t="s">
        <v>116</v>
      </c>
      <c r="F247" s="11" t="s">
        <v>117</v>
      </c>
      <c r="G247" s="11" t="s">
        <v>35</v>
      </c>
      <c r="H247" s="11">
        <v>3</v>
      </c>
      <c r="I247" s="11">
        <v>79.989999999999995</v>
      </c>
      <c r="J247" s="11" t="s">
        <v>28</v>
      </c>
      <c r="K247" s="11" t="s">
        <v>42</v>
      </c>
      <c r="L247" s="11" t="s">
        <v>24</v>
      </c>
      <c r="M247" s="14">
        <v>44511</v>
      </c>
      <c r="N247" s="11">
        <v>239.97</v>
      </c>
      <c r="O247" s="11" t="str">
        <f t="shared" si="27"/>
        <v>Apr</v>
      </c>
      <c r="P247" s="15">
        <f t="shared" ca="1" si="28"/>
        <v>46078</v>
      </c>
      <c r="Q247" s="18">
        <f t="shared" ca="1" si="29"/>
        <v>46078.801391898145</v>
      </c>
      <c r="R247" s="11">
        <f t="shared" ca="1" si="30"/>
        <v>4</v>
      </c>
      <c r="S247" s="15">
        <f t="shared" si="31"/>
        <v>45777</v>
      </c>
      <c r="T247" s="11">
        <f t="shared" si="32"/>
        <v>4789.7900000000009</v>
      </c>
      <c r="U247" s="11" t="str">
        <f t="shared" si="33"/>
        <v>Normal</v>
      </c>
      <c r="V247" s="11">
        <f t="shared" si="34"/>
        <v>14</v>
      </c>
      <c r="W247" s="6" t="str">
        <f t="shared" si="35"/>
        <v>V.S</v>
      </c>
    </row>
    <row r="248" spans="1:23" ht="15.75" customHeight="1" x14ac:dyDescent="0.3">
      <c r="A248" s="11" t="s">
        <v>397</v>
      </c>
      <c r="B248" s="15">
        <v>45756</v>
      </c>
      <c r="C248" s="11" t="s">
        <v>61</v>
      </c>
      <c r="D248" s="11" t="s">
        <v>62</v>
      </c>
      <c r="E248" s="11" t="s">
        <v>119</v>
      </c>
      <c r="F248" s="11" t="s">
        <v>120</v>
      </c>
      <c r="G248" s="11" t="s">
        <v>21</v>
      </c>
      <c r="H248" s="11">
        <v>1</v>
      </c>
      <c r="I248" s="11">
        <v>89.99</v>
      </c>
      <c r="J248" s="11" t="s">
        <v>59</v>
      </c>
      <c r="K248" s="11" t="s">
        <v>65</v>
      </c>
      <c r="L248" s="11" t="s">
        <v>24</v>
      </c>
      <c r="M248" s="14">
        <v>45346</v>
      </c>
      <c r="N248" s="11">
        <v>89.99</v>
      </c>
      <c r="O248" s="11" t="str">
        <f t="shared" si="27"/>
        <v>Apr</v>
      </c>
      <c r="P248" s="15">
        <f t="shared" ca="1" si="28"/>
        <v>46078</v>
      </c>
      <c r="Q248" s="18">
        <f t="shared" ca="1" si="29"/>
        <v>46078.801391898145</v>
      </c>
      <c r="R248" s="11">
        <f t="shared" ca="1" si="30"/>
        <v>2</v>
      </c>
      <c r="S248" s="15">
        <f t="shared" si="31"/>
        <v>45777</v>
      </c>
      <c r="T248" s="11">
        <f t="shared" si="32"/>
        <v>3509.8999999999996</v>
      </c>
      <c r="U248" s="11" t="str">
        <f t="shared" si="33"/>
        <v>Normal</v>
      </c>
      <c r="V248" s="11">
        <f t="shared" si="34"/>
        <v>34</v>
      </c>
      <c r="W248" s="6" t="str">
        <f t="shared" si="35"/>
        <v>R.T</v>
      </c>
    </row>
    <row r="249" spans="1:23" ht="15.75" customHeight="1" x14ac:dyDescent="0.3">
      <c r="A249" s="11" t="s">
        <v>398</v>
      </c>
      <c r="B249" s="15">
        <v>45758</v>
      </c>
      <c r="C249" s="11" t="s">
        <v>295</v>
      </c>
      <c r="D249" s="11" t="s">
        <v>296</v>
      </c>
      <c r="E249" s="11" t="s">
        <v>82</v>
      </c>
      <c r="F249" s="11" t="s">
        <v>83</v>
      </c>
      <c r="G249" s="11" t="s">
        <v>21</v>
      </c>
      <c r="H249" s="11">
        <v>3</v>
      </c>
      <c r="I249" s="11">
        <v>699.99</v>
      </c>
      <c r="J249" s="11" t="s">
        <v>36</v>
      </c>
      <c r="K249" s="11" t="s">
        <v>42</v>
      </c>
      <c r="L249" s="11" t="s">
        <v>24</v>
      </c>
      <c r="M249" s="14">
        <v>44909</v>
      </c>
      <c r="N249" s="11">
        <v>2099.9699999999998</v>
      </c>
      <c r="O249" s="11" t="str">
        <f t="shared" si="27"/>
        <v>Apr</v>
      </c>
      <c r="P249" s="15">
        <f t="shared" ca="1" si="28"/>
        <v>46078</v>
      </c>
      <c r="Q249" s="18">
        <f t="shared" ca="1" si="29"/>
        <v>46078.801391898145</v>
      </c>
      <c r="R249" s="11">
        <f t="shared" ca="1" si="30"/>
        <v>3</v>
      </c>
      <c r="S249" s="15">
        <f t="shared" si="31"/>
        <v>45777</v>
      </c>
      <c r="T249" s="11">
        <f t="shared" si="32"/>
        <v>4829.8899999999994</v>
      </c>
      <c r="U249" s="11" t="str">
        <f t="shared" si="33"/>
        <v>Normal</v>
      </c>
      <c r="V249" s="11">
        <f t="shared" si="34"/>
        <v>31</v>
      </c>
      <c r="W249" s="6" t="str">
        <f t="shared" si="35"/>
        <v>D.W</v>
      </c>
    </row>
    <row r="250" spans="1:23" ht="15.75" customHeight="1" x14ac:dyDescent="0.3">
      <c r="A250" s="11" t="s">
        <v>399</v>
      </c>
      <c r="B250" s="15">
        <v>45758</v>
      </c>
      <c r="C250" s="11" t="s">
        <v>228</v>
      </c>
      <c r="D250" s="11" t="s">
        <v>229</v>
      </c>
      <c r="E250" s="11" t="s">
        <v>119</v>
      </c>
      <c r="F250" s="11" t="s">
        <v>120</v>
      </c>
      <c r="G250" s="11" t="s">
        <v>21</v>
      </c>
      <c r="H250" s="11">
        <v>2</v>
      </c>
      <c r="I250" s="11">
        <v>89.99</v>
      </c>
      <c r="J250" s="11" t="s">
        <v>59</v>
      </c>
      <c r="K250" s="11" t="s">
        <v>65</v>
      </c>
      <c r="L250" s="11" t="s">
        <v>24</v>
      </c>
      <c r="M250" s="14">
        <v>45088</v>
      </c>
      <c r="N250" s="11">
        <v>179.98</v>
      </c>
      <c r="O250" s="11" t="str">
        <f t="shared" si="27"/>
        <v>Apr</v>
      </c>
      <c r="P250" s="15">
        <f t="shared" ca="1" si="28"/>
        <v>46078</v>
      </c>
      <c r="Q250" s="18">
        <f t="shared" ca="1" si="29"/>
        <v>46078.801391898145</v>
      </c>
      <c r="R250" s="11">
        <f t="shared" ca="1" si="30"/>
        <v>2</v>
      </c>
      <c r="S250" s="15">
        <f t="shared" si="31"/>
        <v>45777</v>
      </c>
      <c r="T250" s="11">
        <f t="shared" si="32"/>
        <v>6989.7699999999986</v>
      </c>
      <c r="U250" s="11" t="str">
        <f t="shared" si="33"/>
        <v>Normal</v>
      </c>
      <c r="V250" s="11">
        <f t="shared" si="34"/>
        <v>34</v>
      </c>
      <c r="W250" s="6" t="str">
        <f t="shared" si="35"/>
        <v>L.R</v>
      </c>
    </row>
    <row r="251" spans="1:23" ht="15.75" customHeight="1" x14ac:dyDescent="0.3">
      <c r="A251" s="11" t="s">
        <v>400</v>
      </c>
      <c r="B251" s="15">
        <v>45758</v>
      </c>
      <c r="C251" s="11" t="s">
        <v>140</v>
      </c>
      <c r="D251" s="11" t="s">
        <v>141</v>
      </c>
      <c r="E251" s="11" t="s">
        <v>119</v>
      </c>
      <c r="F251" s="11" t="s">
        <v>120</v>
      </c>
      <c r="G251" s="11" t="s">
        <v>21</v>
      </c>
      <c r="H251" s="11">
        <v>3</v>
      </c>
      <c r="I251" s="11">
        <v>89.99</v>
      </c>
      <c r="J251" s="11" t="s">
        <v>59</v>
      </c>
      <c r="K251" s="11" t="s">
        <v>42</v>
      </c>
      <c r="L251" s="11" t="s">
        <v>29</v>
      </c>
      <c r="M251" s="14">
        <v>44878</v>
      </c>
      <c r="N251" s="11">
        <v>269.97000000000003</v>
      </c>
      <c r="O251" s="11" t="str">
        <f t="shared" si="27"/>
        <v>Apr</v>
      </c>
      <c r="P251" s="15">
        <f t="shared" ca="1" si="28"/>
        <v>46078</v>
      </c>
      <c r="Q251" s="18">
        <f t="shared" ca="1" si="29"/>
        <v>46078.801391898145</v>
      </c>
      <c r="R251" s="11">
        <f t="shared" ca="1" si="30"/>
        <v>3</v>
      </c>
      <c r="S251" s="15">
        <f t="shared" si="31"/>
        <v>45777</v>
      </c>
      <c r="T251" s="11">
        <f t="shared" si="32"/>
        <v>2649.83</v>
      </c>
      <c r="U251" s="11" t="str">
        <f t="shared" si="33"/>
        <v>Normal</v>
      </c>
      <c r="V251" s="11">
        <f t="shared" si="34"/>
        <v>34</v>
      </c>
      <c r="W251" s="6" t="str">
        <f t="shared" si="35"/>
        <v>S.T</v>
      </c>
    </row>
    <row r="252" spans="1:23" ht="15.75" customHeight="1" x14ac:dyDescent="0.3">
      <c r="W252" s="6"/>
    </row>
    <row r="253" spans="1:23" ht="15.75" customHeight="1" x14ac:dyDescent="0.3">
      <c r="W253" s="6"/>
    </row>
    <row r="254" spans="1:23" ht="15.75" customHeight="1" x14ac:dyDescent="0.3">
      <c r="W254" s="6"/>
    </row>
    <row r="255" spans="1:23" ht="15.75" customHeight="1" x14ac:dyDescent="0.3">
      <c r="W255" s="6"/>
    </row>
    <row r="256" spans="1:23"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AD65:AG66"/>
    <mergeCell ref="Y10:Z11"/>
    <mergeCell ref="Y2:Z2"/>
    <mergeCell ref="AB8:AC9"/>
  </mergeCells>
  <conditionalFormatting pivot="1" sqref="Z13:Z62">
    <cfRule type="top10" dxfId="60" priority="1" rank="5"/>
  </conditionalFormatting>
  <dataValidations count="1">
    <dataValidation type="list" allowBlank="1" showInputMessage="1" showErrorMessage="1" sqref="W67 Y67 AA67" xr:uid="{07EB9F03-C997-457C-A092-9A37F4EF60AD}">
      <formula1>"East,West,North,South,Central"</formula1>
    </dataValidation>
  </dataValidations>
  <pageMargins left="0.75" right="0.75" top="1" bottom="1" header="0" footer="0"/>
  <pageSetup orientation="landscape"/>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BA40-CD12-45D7-8490-321841B16FF9}">
  <dimension ref="A1:L28"/>
  <sheetViews>
    <sheetView workbookViewId="0">
      <selection activeCell="H1" sqref="H1:I1"/>
    </sheetView>
  </sheetViews>
  <sheetFormatPr defaultRowHeight="14.4" x14ac:dyDescent="0.3"/>
  <cols>
    <col min="1" max="1" width="17.44140625" bestFit="1" customWidth="1"/>
    <col min="2" max="2" width="12.88671875" customWidth="1"/>
    <col min="3" max="3" width="15.5546875" customWidth="1"/>
    <col min="4" max="4" width="12.6640625" bestFit="1" customWidth="1"/>
    <col min="5" max="5" width="15.77734375" bestFit="1" customWidth="1"/>
    <col min="6" max="6" width="18.5546875" bestFit="1" customWidth="1"/>
    <col min="7" max="7" width="12.6640625" bestFit="1" customWidth="1"/>
    <col min="8" max="8" width="18.6640625" bestFit="1" customWidth="1"/>
    <col min="9" max="9" width="15.109375" bestFit="1" customWidth="1"/>
    <col min="10" max="10" width="15.21875" bestFit="1" customWidth="1"/>
    <col min="11" max="11" width="17.33203125" bestFit="1" customWidth="1"/>
    <col min="12" max="12" width="16.77734375" bestFit="1" customWidth="1"/>
  </cols>
  <sheetData>
    <row r="1" spans="1:11" ht="23.4" x14ac:dyDescent="0.45">
      <c r="H1" s="38" t="s">
        <v>439</v>
      </c>
      <c r="I1" s="38"/>
    </row>
    <row r="3" spans="1:11" x14ac:dyDescent="0.3">
      <c r="A3" s="22"/>
      <c r="B3" s="22"/>
      <c r="H3" s="22" t="s">
        <v>433</v>
      </c>
      <c r="I3" s="22" t="s">
        <v>426</v>
      </c>
    </row>
    <row r="4" spans="1:11" x14ac:dyDescent="0.3">
      <c r="H4" t="s">
        <v>434</v>
      </c>
      <c r="I4">
        <v>0.45808036093237842</v>
      </c>
    </row>
    <row r="5" spans="1:11" x14ac:dyDescent="0.3">
      <c r="H5" t="s">
        <v>435</v>
      </c>
      <c r="I5">
        <v>0.2098376170719381</v>
      </c>
    </row>
    <row r="6" spans="1:11" x14ac:dyDescent="0.3">
      <c r="H6" t="s">
        <v>436</v>
      </c>
      <c r="I6">
        <v>0.20665147843109913</v>
      </c>
    </row>
    <row r="7" spans="1:11" x14ac:dyDescent="0.3">
      <c r="H7" t="s">
        <v>437</v>
      </c>
      <c r="I7">
        <v>919.60715349471081</v>
      </c>
    </row>
    <row r="8" spans="1:11" x14ac:dyDescent="0.3">
      <c r="H8" t="s">
        <v>438</v>
      </c>
      <c r="I8">
        <v>250</v>
      </c>
    </row>
    <row r="11" spans="1:11" x14ac:dyDescent="0.3">
      <c r="A11" s="23"/>
      <c r="B11" s="23"/>
      <c r="C11" s="23"/>
      <c r="D11" s="23"/>
      <c r="E11" s="23"/>
      <c r="F11" s="23" t="s">
        <v>426</v>
      </c>
      <c r="G11" s="23" t="s">
        <v>443</v>
      </c>
      <c r="H11" s="23" t="s">
        <v>444</v>
      </c>
      <c r="I11" s="23" t="s">
        <v>445</v>
      </c>
      <c r="J11" s="23" t="s">
        <v>446</v>
      </c>
      <c r="K11" s="23" t="s">
        <v>447</v>
      </c>
    </row>
    <row r="12" spans="1:11" x14ac:dyDescent="0.3">
      <c r="F12" t="s">
        <v>439</v>
      </c>
      <c r="G12">
        <v>1</v>
      </c>
      <c r="H12">
        <v>55695916.896352619</v>
      </c>
      <c r="I12">
        <v>55695916.896352619</v>
      </c>
      <c r="J12">
        <v>65.859537429508919</v>
      </c>
      <c r="K12">
        <v>2.2586478953134677E-14</v>
      </c>
    </row>
    <row r="13" spans="1:11" x14ac:dyDescent="0.3">
      <c r="F13" t="s">
        <v>440</v>
      </c>
      <c r="G13">
        <v>248</v>
      </c>
      <c r="H13">
        <v>209727974.55614385</v>
      </c>
      <c r="I13">
        <v>845677.31675864453</v>
      </c>
    </row>
    <row r="14" spans="1:11" x14ac:dyDescent="0.3">
      <c r="F14" t="s">
        <v>441</v>
      </c>
      <c r="G14">
        <v>249</v>
      </c>
      <c r="H14">
        <v>265423891.45249647</v>
      </c>
    </row>
    <row r="16" spans="1:11" x14ac:dyDescent="0.3">
      <c r="A16" s="23"/>
      <c r="B16" s="23"/>
      <c r="C16" s="23"/>
      <c r="D16" s="23"/>
      <c r="E16" s="23"/>
      <c r="F16" s="23"/>
      <c r="G16" s="23"/>
      <c r="H16" s="23"/>
      <c r="I16" s="23"/>
    </row>
    <row r="17" spans="4:12" x14ac:dyDescent="0.3">
      <c r="D17" s="23" t="s">
        <v>426</v>
      </c>
      <c r="E17" s="23" t="s">
        <v>448</v>
      </c>
      <c r="F17" s="23" t="s">
        <v>437</v>
      </c>
      <c r="G17" s="23" t="s">
        <v>449</v>
      </c>
      <c r="H17" s="23" t="s">
        <v>450</v>
      </c>
      <c r="I17" s="23" t="s">
        <v>451</v>
      </c>
      <c r="J17" s="23" t="s">
        <v>452</v>
      </c>
      <c r="K17" s="23" t="s">
        <v>453</v>
      </c>
      <c r="L17" s="23" t="s">
        <v>454</v>
      </c>
    </row>
    <row r="18" spans="4:12" x14ac:dyDescent="0.3">
      <c r="D18" t="s">
        <v>442</v>
      </c>
      <c r="E18">
        <v>-148.85464891541903</v>
      </c>
      <c r="F18">
        <v>143.61334429876464</v>
      </c>
      <c r="G18">
        <v>-1.0364959443166415</v>
      </c>
      <c r="H18">
        <v>0.30098040367911694</v>
      </c>
      <c r="I18">
        <v>-431.71199538208884</v>
      </c>
      <c r="J18">
        <v>134.00269755125078</v>
      </c>
      <c r="K18">
        <v>-431.71199538208884</v>
      </c>
      <c r="L18">
        <v>134.00269755125078</v>
      </c>
    </row>
    <row r="19" spans="4:12" x14ac:dyDescent="0.3">
      <c r="D19" t="s">
        <v>455</v>
      </c>
      <c r="E19">
        <v>353.7930042879882</v>
      </c>
      <c r="F19">
        <v>43.595323340526868</v>
      </c>
      <c r="G19">
        <v>8.1153889265708674</v>
      </c>
      <c r="H19">
        <v>2.2586478953133775E-14</v>
      </c>
      <c r="I19">
        <v>267.92871682452869</v>
      </c>
      <c r="J19">
        <v>439.6572917514477</v>
      </c>
      <c r="K19">
        <v>267.92871682452869</v>
      </c>
      <c r="L19">
        <v>439.6572917514477</v>
      </c>
    </row>
    <row r="26" spans="4:12" x14ac:dyDescent="0.3">
      <c r="D26" s="23"/>
      <c r="E26" s="23"/>
      <c r="F26" s="23"/>
      <c r="G26" s="23"/>
      <c r="H26" s="23"/>
      <c r="I26" s="23"/>
    </row>
    <row r="28" spans="4:12" x14ac:dyDescent="0.3">
      <c r="D28" s="23"/>
      <c r="E28" s="23"/>
      <c r="F28" s="23"/>
      <c r="G28" s="23"/>
      <c r="H28" s="23"/>
      <c r="I28" s="23"/>
      <c r="J28" s="23"/>
      <c r="K28" s="23"/>
      <c r="L28" s="23"/>
    </row>
  </sheetData>
  <mergeCells count="1">
    <mergeCell ref="H1:I1"/>
  </mergeCells>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C1C4-E281-4F00-B0DC-FA9F13704B74}">
  <dimension ref="A3:M25"/>
  <sheetViews>
    <sheetView zoomScale="86" workbookViewId="0">
      <selection activeCell="M24" sqref="L19:M24"/>
    </sheetView>
  </sheetViews>
  <sheetFormatPr defaultRowHeight="14.4" x14ac:dyDescent="0.3"/>
  <cols>
    <col min="1" max="1" width="13" bestFit="1" customWidth="1"/>
    <col min="2" max="2" width="19.109375" bestFit="1" customWidth="1"/>
    <col min="3" max="3" width="19" bestFit="1" customWidth="1"/>
    <col min="12" max="12" width="12.5546875" bestFit="1" customWidth="1"/>
    <col min="13" max="13" width="19.77734375" bestFit="1" customWidth="1"/>
  </cols>
  <sheetData>
    <row r="3" spans="1:2" x14ac:dyDescent="0.3">
      <c r="A3" s="9" t="s">
        <v>405</v>
      </c>
      <c r="B3" t="s">
        <v>407</v>
      </c>
    </row>
    <row r="4" spans="1:2" x14ac:dyDescent="0.3">
      <c r="A4" s="10" t="s">
        <v>35</v>
      </c>
      <c r="B4">
        <v>739.89</v>
      </c>
    </row>
    <row r="5" spans="1:2" x14ac:dyDescent="0.3">
      <c r="A5" s="10" t="s">
        <v>21</v>
      </c>
      <c r="B5">
        <v>15709.689999999999</v>
      </c>
    </row>
    <row r="6" spans="1:2" x14ac:dyDescent="0.3">
      <c r="A6" s="10" t="s">
        <v>48</v>
      </c>
      <c r="B6">
        <v>3449.8</v>
      </c>
    </row>
    <row r="7" spans="1:2" x14ac:dyDescent="0.3">
      <c r="A7" s="10" t="s">
        <v>406</v>
      </c>
      <c r="B7">
        <v>19899.379999999997</v>
      </c>
    </row>
    <row r="19" spans="2:13" x14ac:dyDescent="0.3">
      <c r="B19" s="9" t="s">
        <v>405</v>
      </c>
      <c r="C19" t="s">
        <v>407</v>
      </c>
      <c r="L19" s="9" t="s">
        <v>405</v>
      </c>
      <c r="M19" t="s">
        <v>407</v>
      </c>
    </row>
    <row r="20" spans="2:13" x14ac:dyDescent="0.3">
      <c r="B20" s="10" t="s">
        <v>23</v>
      </c>
      <c r="C20">
        <v>41288.340000000018</v>
      </c>
      <c r="L20" s="10" t="s">
        <v>22</v>
      </c>
      <c r="M20">
        <v>57427.790000000023</v>
      </c>
    </row>
    <row r="21" spans="2:13" x14ac:dyDescent="0.3">
      <c r="B21" s="10" t="s">
        <v>65</v>
      </c>
      <c r="C21">
        <v>59288.389999999992</v>
      </c>
      <c r="L21" s="10" t="s">
        <v>28</v>
      </c>
      <c r="M21">
        <v>61447.960000000014</v>
      </c>
    </row>
    <row r="22" spans="2:13" x14ac:dyDescent="0.3">
      <c r="B22" s="10" t="s">
        <v>42</v>
      </c>
      <c r="C22">
        <v>50808.310000000012</v>
      </c>
      <c r="L22" s="10" t="s">
        <v>59</v>
      </c>
      <c r="M22">
        <v>52118.310000000005</v>
      </c>
    </row>
    <row r="23" spans="2:13" x14ac:dyDescent="0.3">
      <c r="B23" s="10" t="s">
        <v>37</v>
      </c>
      <c r="C23">
        <v>36398.750000000007</v>
      </c>
      <c r="L23" s="10" t="s">
        <v>36</v>
      </c>
      <c r="M23">
        <v>58198.409999999996</v>
      </c>
    </row>
    <row r="24" spans="2:13" x14ac:dyDescent="0.3">
      <c r="B24" s="10" t="s">
        <v>52</v>
      </c>
      <c r="C24">
        <v>41408.680000000015</v>
      </c>
      <c r="L24" s="10" t="s">
        <v>406</v>
      </c>
      <c r="M24">
        <v>229192.47000000003</v>
      </c>
    </row>
    <row r="25" spans="2:13" x14ac:dyDescent="0.3">
      <c r="B25" s="10" t="s">
        <v>406</v>
      </c>
      <c r="C25">
        <v>229192.47000000006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8253-C81A-421E-B47E-4C318B1AACD0}">
  <dimension ref="A3:D16"/>
  <sheetViews>
    <sheetView workbookViewId="0">
      <selection activeCell="A3" sqref="A3:D16"/>
    </sheetView>
  </sheetViews>
  <sheetFormatPr defaultRowHeight="14.4" x14ac:dyDescent="0.3"/>
  <cols>
    <col min="1" max="1" width="12.44140625" bestFit="1" customWidth="1"/>
    <col min="2" max="2" width="19" bestFit="1" customWidth="1"/>
  </cols>
  <sheetData>
    <row r="3" spans="1:4" x14ac:dyDescent="0.3">
      <c r="A3" s="9" t="s">
        <v>405</v>
      </c>
      <c r="B3" t="s">
        <v>407</v>
      </c>
      <c r="C3" s="5" t="s">
        <v>430</v>
      </c>
      <c r="D3" s="5" t="s">
        <v>431</v>
      </c>
    </row>
    <row r="4" spans="1:4" x14ac:dyDescent="0.3">
      <c r="A4" s="10" t="s">
        <v>409</v>
      </c>
      <c r="B4">
        <v>25799.15</v>
      </c>
      <c r="C4" t="str">
        <f>IFERROR((B3-B2)/B2,"-")</f>
        <v>-</v>
      </c>
      <c r="D4" s="5" t="s">
        <v>432</v>
      </c>
    </row>
    <row r="5" spans="1:4" x14ac:dyDescent="0.3">
      <c r="A5" s="10" t="s">
        <v>410</v>
      </c>
      <c r="B5">
        <v>16069.379999999997</v>
      </c>
      <c r="C5">
        <f>B5-B4</f>
        <v>-9729.7700000000041</v>
      </c>
      <c r="D5" s="21">
        <f>(B5-B4)/B4</f>
        <v>-0.37713529321702471</v>
      </c>
    </row>
    <row r="6" spans="1:4" x14ac:dyDescent="0.3">
      <c r="A6" s="10" t="s">
        <v>411</v>
      </c>
      <c r="B6">
        <v>19899.379999999997</v>
      </c>
      <c r="C6">
        <f t="shared" ref="C6:C15" si="0">B6-B5</f>
        <v>3830</v>
      </c>
      <c r="D6" s="21">
        <f t="shared" ref="D6:D15" si="1">(B6-B5)/B5</f>
        <v>0.23834149170658736</v>
      </c>
    </row>
    <row r="7" spans="1:4" x14ac:dyDescent="0.3">
      <c r="A7" s="10" t="s">
        <v>412</v>
      </c>
      <c r="B7">
        <v>27899.160000000007</v>
      </c>
      <c r="C7">
        <f t="shared" si="0"/>
        <v>7999.7800000000097</v>
      </c>
      <c r="D7" s="21">
        <f t="shared" si="1"/>
        <v>0.40201151995690371</v>
      </c>
    </row>
    <row r="8" spans="1:4" x14ac:dyDescent="0.3">
      <c r="A8" s="10" t="s">
        <v>413</v>
      </c>
      <c r="B8">
        <v>17039.349999999999</v>
      </c>
      <c r="C8">
        <f t="shared" si="0"/>
        <v>-10859.810000000009</v>
      </c>
      <c r="D8" s="21">
        <f t="shared" si="1"/>
        <v>-0.38925222121382885</v>
      </c>
    </row>
    <row r="9" spans="1:4" x14ac:dyDescent="0.3">
      <c r="A9" s="10" t="s">
        <v>414</v>
      </c>
      <c r="B9">
        <v>19299.45</v>
      </c>
      <c r="C9">
        <f t="shared" si="0"/>
        <v>2260.1000000000022</v>
      </c>
      <c r="D9" s="21">
        <f t="shared" si="1"/>
        <v>0.1326400361516139</v>
      </c>
    </row>
    <row r="10" spans="1:4" x14ac:dyDescent="0.3">
      <c r="A10" s="10" t="s">
        <v>415</v>
      </c>
      <c r="B10">
        <v>18479.399999999994</v>
      </c>
      <c r="C10">
        <f t="shared" si="0"/>
        <v>-820.05000000000655</v>
      </c>
      <c r="D10" s="21">
        <f t="shared" si="1"/>
        <v>-4.2490848184793172E-2</v>
      </c>
    </row>
    <row r="11" spans="1:4" x14ac:dyDescent="0.3">
      <c r="A11" s="10" t="s">
        <v>416</v>
      </c>
      <c r="B11">
        <v>15759.429999999997</v>
      </c>
      <c r="C11">
        <f t="shared" si="0"/>
        <v>-2719.9699999999975</v>
      </c>
      <c r="D11" s="21">
        <f t="shared" si="1"/>
        <v>-0.14718930268298747</v>
      </c>
    </row>
    <row r="12" spans="1:4" x14ac:dyDescent="0.3">
      <c r="A12" s="10" t="s">
        <v>417</v>
      </c>
      <c r="B12">
        <v>12989.509999999997</v>
      </c>
      <c r="C12">
        <f t="shared" si="0"/>
        <v>-2769.92</v>
      </c>
      <c r="D12" s="21">
        <f t="shared" si="1"/>
        <v>-0.17576270207742289</v>
      </c>
    </row>
    <row r="13" spans="1:4" x14ac:dyDescent="0.3">
      <c r="A13" s="10" t="s">
        <v>418</v>
      </c>
      <c r="B13">
        <v>20609.52</v>
      </c>
      <c r="C13">
        <f t="shared" si="0"/>
        <v>7620.0100000000039</v>
      </c>
      <c r="D13" s="21">
        <f t="shared" si="1"/>
        <v>0.58662797903847075</v>
      </c>
    </row>
    <row r="14" spans="1:4" x14ac:dyDescent="0.3">
      <c r="A14" s="10" t="s">
        <v>419</v>
      </c>
      <c r="B14">
        <v>12309.439999999999</v>
      </c>
      <c r="C14">
        <f t="shared" si="0"/>
        <v>-8300.0800000000017</v>
      </c>
      <c r="D14" s="21">
        <f t="shared" si="1"/>
        <v>-0.40273038867474842</v>
      </c>
    </row>
    <row r="15" spans="1:4" x14ac:dyDescent="0.3">
      <c r="A15" s="10" t="s">
        <v>420</v>
      </c>
      <c r="B15">
        <v>23039.3</v>
      </c>
      <c r="C15">
        <f t="shared" si="0"/>
        <v>10729.86</v>
      </c>
      <c r="D15" s="21">
        <f t="shared" si="1"/>
        <v>0.87167734681675213</v>
      </c>
    </row>
    <row r="16" spans="1:4" x14ac:dyDescent="0.3">
      <c r="A16" s="10" t="s">
        <v>406</v>
      </c>
      <c r="B16">
        <v>229192.47</v>
      </c>
      <c r="D16" s="21"/>
    </row>
  </sheetData>
  <conditionalFormatting sqref="D4:D15">
    <cfRule type="iconSet" priority="1">
      <iconSet iconSet="5Arrows">
        <cfvo type="percent" val="0"/>
        <cfvo type="percent" val="20"/>
        <cfvo type="percent" val="40"/>
        <cfvo type="percent" val="60"/>
        <cfvo type="percent" val="80"/>
      </iconSe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iconSet" priority="2" id="{FDE2C9AA-E997-493B-85F1-D268E6B7BC77}">
            <x14:iconSet iconSet="3Triangles">
              <x14:cfvo type="percent">
                <xm:f>0</xm:f>
              </x14:cfvo>
              <x14:cfvo type="percent">
                <xm:f>33</xm:f>
              </x14:cfvo>
              <x14:cfvo type="percent">
                <xm:f>67</xm:f>
              </x14:cfvo>
            </x14:iconSet>
          </x14:cfRule>
          <xm:sqref>C4:C15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Dashboard</vt:lpstr>
      <vt:lpstr>Final Project Dataset</vt:lpstr>
      <vt:lpstr>Data Analysis Toolpak</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Nevil Aghera</cp:lastModifiedBy>
  <dcterms:modified xsi:type="dcterms:W3CDTF">2026-02-25T13:44:04Z</dcterms:modified>
</cp:coreProperties>
</file>